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defaultThemeVersion="124226"/>
  <mc:AlternateContent xmlns:mc="http://schemas.openxmlformats.org/markup-compatibility/2006">
    <mc:Choice Requires="x15">
      <x15ac:absPath xmlns:x15ac="http://schemas.microsoft.com/office/spreadsheetml/2010/11/ac" url="C:\Users\ALUMNO\Desktop\CEU\4\Proyectos\IMU_Visualization\Data_Analysis\"/>
    </mc:Choice>
  </mc:AlternateContent>
  <xr:revisionPtr revIDLastSave="0" documentId="13_ncr:1_{FB6A1CCB-E73D-4195-BBF4-51396C867B8A}" xr6:coauthVersionLast="47" xr6:coauthVersionMax="47" xr10:uidLastSave="{00000000-0000-0000-0000-000000000000}"/>
  <bookViews>
    <workbookView xWindow="-110" yWindow="-110" windowWidth="19420" windowHeight="10420" activeTab="1" xr2:uid="{00000000-000D-0000-FFFF-FFFF00000000}"/>
  </bookViews>
  <sheets>
    <sheet name="Subject_Metadata" sheetId="1" r:id="rId1"/>
    <sheet name="Static_Results" sheetId="2" r:id="rId2"/>
    <sheet name="Dynamic_Results" sheetId="3" r:id="rId3"/>
    <sheet name="Complex_Results" sheetId="4" r:id="rId4"/>
  </sheets>
  <definedNames>
    <definedName name="_xlnm._FilterDatabase" localSheetId="3" hidden="1">Complex_Results!$A$1:$C$13</definedName>
    <definedName name="_xlnm._FilterDatabase" localSheetId="2" hidden="1">Dynamic_Results!$A$1:$D$25</definedName>
    <definedName name="_xlnm._FilterDatabase" localSheetId="1" hidden="1">Static_Results!$A$1:$D$64</definedName>
    <definedName name="_xlnm._FilterDatabase" localSheetId="0" hidden="1">Subject_Metadata!$A$1:$C$4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1"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2" i="2"/>
  <c r="F43" i="2"/>
  <c r="F44" i="2"/>
  <c r="F45" i="2"/>
  <c r="F46" i="2"/>
  <c r="F47" i="2"/>
  <c r="F48" i="2"/>
  <c r="F49" i="2"/>
  <c r="F50" i="2"/>
  <c r="F51" i="2"/>
  <c r="F52" i="2"/>
  <c r="F53" i="2"/>
  <c r="F54" i="2"/>
  <c r="F55" i="2"/>
  <c r="F56" i="2"/>
  <c r="F57" i="2"/>
  <c r="F58" i="2"/>
  <c r="F59" i="2"/>
  <c r="F60" i="2"/>
  <c r="F61" i="2"/>
  <c r="F62" i="2"/>
  <c r="F63" i="2"/>
  <c r="F64" i="2"/>
  <c r="F2" i="2"/>
</calcChain>
</file>

<file path=xl/sharedStrings.xml><?xml version="1.0" encoding="utf-8"?>
<sst xmlns="http://schemas.openxmlformats.org/spreadsheetml/2006/main" count="368" uniqueCount="63">
  <si>
    <t>Subject_ID</t>
  </si>
  <si>
    <t>Sex</t>
  </si>
  <si>
    <t>Height (cm)</t>
  </si>
  <si>
    <t>Arm Length (cm)</t>
  </si>
  <si>
    <t>Forearm Length (cm)</t>
  </si>
  <si>
    <t>S01</t>
  </si>
  <si>
    <t>S02</t>
  </si>
  <si>
    <t>S03</t>
  </si>
  <si>
    <t>Joint</t>
  </si>
  <si>
    <t>Movement</t>
  </si>
  <si>
    <t>Goniometer Angle (º)</t>
  </si>
  <si>
    <t>Unity Angle (º)</t>
  </si>
  <si>
    <t>Absolute Error (º)</t>
  </si>
  <si>
    <t>Shoulder</t>
  </si>
  <si>
    <t>Elbow</t>
  </si>
  <si>
    <t>Wrist</t>
  </si>
  <si>
    <t>Flexion</t>
  </si>
  <si>
    <t>Abduction</t>
  </si>
  <si>
    <t>Rotation</t>
  </si>
  <si>
    <t>Pronosupination</t>
  </si>
  <si>
    <t>Deviation</t>
  </si>
  <si>
    <t>Velocity</t>
  </si>
  <si>
    <t>RMSE (º)</t>
  </si>
  <si>
    <t>Peak Error (º)</t>
  </si>
  <si>
    <t>Correlation (r)</t>
  </si>
  <si>
    <t>Continuous Flexion</t>
  </si>
  <si>
    <t>Continuous Abduction</t>
  </si>
  <si>
    <t>Continuous Pronosupination</t>
  </si>
  <si>
    <t>Normal</t>
  </si>
  <si>
    <t>Fast</t>
  </si>
  <si>
    <t>Activity</t>
  </si>
  <si>
    <t>Pass/Fail</t>
  </si>
  <si>
    <t>Observations</t>
  </si>
  <si>
    <t>Touch Nose</t>
  </si>
  <si>
    <t>Reach Doorknob</t>
  </si>
  <si>
    <t>Pour Water</t>
  </si>
  <si>
    <t>Comb Hair</t>
  </si>
  <si>
    <t>EXPECTED ERROR ENTRE 2º Y 5º</t>
  </si>
  <si>
    <t xml:space="preserve">EXPECTED RMSE ENTRE 8º Y 10º </t>
  </si>
  <si>
    <t>EXPECTED PEAK ERROR ENTRE 10º Y 15º</t>
  </si>
  <si>
    <t>EXPECTED CORRELATION &gt;0.85</t>
  </si>
  <si>
    <t>Name</t>
  </si>
  <si>
    <t>Blanca Bru</t>
  </si>
  <si>
    <t>Female</t>
  </si>
  <si>
    <t>Javier Bru</t>
  </si>
  <si>
    <t>Male</t>
  </si>
  <si>
    <t>pass</t>
  </si>
  <si>
    <t>muy preciso</t>
  </si>
  <si>
    <t>with palm touches face, not fingers</t>
  </si>
  <si>
    <t>-</t>
  </si>
  <si>
    <t>La lectura de ~159º en el rango máximo coincide con el límite anatómico real de la articulación glenohumeral, demostrando que el IMU aísla el movimiento del brazo sin sumar la compensación espinal del sujeto.</t>
  </si>
  <si>
    <t>neutro</t>
  </si>
  <si>
    <t>rot interna</t>
  </si>
  <si>
    <t xml:space="preserve">rot externa </t>
  </si>
  <si>
    <r>
      <t xml:space="preserve">Si pegas el codo a las costillas y rotas la mano hacia afuera (rotación externa) sin despegar el codo ni arquear la espalda, el rango articular medio en adultos sanos es de </t>
    </r>
    <r>
      <rPr>
        <b/>
        <sz val="11"/>
        <color theme="1"/>
        <rFont val="Calibri"/>
        <family val="2"/>
        <scheme val="minor"/>
      </rPr>
      <t>entre 45º y 60º</t>
    </r>
    <r>
      <rPr>
        <sz val="11"/>
        <color theme="1"/>
        <rFont val="Calibri"/>
        <family val="2"/>
        <scheme val="minor"/>
      </rPr>
      <t>. Los 90º parte gira el omplato, el humero no gira 90</t>
    </r>
  </si>
  <si>
    <t>pronacion palma abajo</t>
  </si>
  <si>
    <t>supinacion palma arriba</t>
  </si>
  <si>
    <t>extension max hacia arriba</t>
  </si>
  <si>
    <t>flexion max hacia abajo</t>
  </si>
  <si>
    <t>desviacion a la izquierda, descordinacion radial</t>
  </si>
  <si>
    <t xml:space="preserve">hiperflexion radiocubital </t>
  </si>
  <si>
    <t>ligera desviacion radial izquierda</t>
  </si>
  <si>
    <t>Macarena Querol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</si>
</sst>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scheme val="minor"/>
    </font>
    <font>
      <u/>
      <sz val="11"/>
      <color theme="1"/>
      <name val="Calibri"/>
      <family val="2"/>
      <scheme val="minor"/>
    </font>
    <font>
      <b/>
      <sz val="11"/>
      <color theme="1"/>
      <name val="Calibri"/>
      <family val="2"/>
      <scheme val="minor"/>
    </font>
  </fonts>
  <fills count="12">
    <fill>
      <patternFill patternType="none"/>
    </fill>
    <fill>
      <patternFill patternType="gray125"/>
    </fill>
    <fill>
      <patternFill patternType="solid">
        <fgColor rgb="FF1F4E78"/>
        <bgColor indexed="64"/>
      </patternFill>
    </fill>
    <fill>
      <patternFill patternType="solid">
        <fgColor rgb="FFF2F2F2"/>
        <bgColor indexed="64"/>
      </patternFill>
    </fill>
    <fill>
      <patternFill patternType="solid">
        <fgColor rgb="FFFFFFFF"/>
        <bgColor indexed="64"/>
      </patternFill>
    </fill>
    <fill>
      <patternFill patternType="solid">
        <fgColor rgb="FFDDEBF7"/>
        <bgColor indexed="64"/>
      </patternFill>
    </fill>
    <fill>
      <patternFill patternType="solid">
        <fgColor rgb="FFE2EFDA"/>
        <bgColor indexed="64"/>
      </patternFill>
    </fill>
    <fill>
      <patternFill patternType="solid">
        <fgColor rgb="FFFCE4D6"/>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2" fillId="0" borderId="0" xfId="0" applyFont="1"/>
    <xf numFmtId="0" fontId="0" fillId="8" borderId="1" xfId="0" applyFill="1" applyBorder="1"/>
    <xf numFmtId="0" fontId="0" fillId="9" borderId="0" xfId="0" applyFill="1"/>
    <xf numFmtId="0" fontId="0" fillId="10" borderId="0" xfId="0" applyFill="1"/>
    <xf numFmtId="0" fontId="0" fillId="11"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F4"/>
  <sheetViews>
    <sheetView workbookViewId="0">
      <selection activeCell="G4" sqref="G4"/>
    </sheetView>
  </sheetViews>
  <sheetFormatPr baseColWidth="10" defaultColWidth="8.7265625" defaultRowHeight="14.5" x14ac:dyDescent="0.35"/>
  <cols>
    <col min="1" max="4" width="16.7265625" customWidth="1"/>
    <col min="5" max="5" width="17.7265625" customWidth="1"/>
    <col min="6" max="6" width="21.7265625" customWidth="1"/>
  </cols>
  <sheetData>
    <row r="1" spans="1:6" x14ac:dyDescent="0.35">
      <c r="A1" s="1" t="s">
        <v>0</v>
      </c>
      <c r="B1" s="1" t="s">
        <v>41</v>
      </c>
      <c r="C1" s="1" t="s">
        <v>1</v>
      </c>
      <c r="D1" s="1" t="s">
        <v>2</v>
      </c>
      <c r="E1" s="1" t="s">
        <v>3</v>
      </c>
      <c r="F1" s="1" t="s">
        <v>4</v>
      </c>
    </row>
    <row r="2" spans="1:6" x14ac:dyDescent="0.35">
      <c r="A2" s="2" t="s">
        <v>5</v>
      </c>
      <c r="B2" s="2" t="s">
        <v>42</v>
      </c>
      <c r="C2" s="2" t="s">
        <v>43</v>
      </c>
      <c r="D2" s="2">
        <v>178</v>
      </c>
      <c r="E2" s="2">
        <v>33</v>
      </c>
      <c r="F2" s="2">
        <v>27</v>
      </c>
    </row>
    <row r="3" spans="1:6" x14ac:dyDescent="0.35">
      <c r="A3" s="3" t="s">
        <v>6</v>
      </c>
      <c r="B3" s="3" t="s">
        <v>44</v>
      </c>
      <c r="C3" s="3" t="s">
        <v>45</v>
      </c>
      <c r="D3" s="3">
        <v>195</v>
      </c>
      <c r="E3" s="3">
        <v>39.5</v>
      </c>
      <c r="F3" s="3">
        <v>30</v>
      </c>
    </row>
    <row r="4" spans="1:6" x14ac:dyDescent="0.35">
      <c r="A4" s="2" t="s">
        <v>7</v>
      </c>
      <c r="B4" s="2" t="s">
        <v>62</v>
      </c>
      <c r="C4" s="2" t="s">
        <v>43</v>
      </c>
      <c r="D4" s="2">
        <v>176</v>
      </c>
      <c r="E4" s="2">
        <v>32</v>
      </c>
      <c r="F4" s="2">
        <v>26</v>
      </c>
    </row>
  </sheetData>
  <autoFilter ref="A1:C4" xr:uid="{00000000-0009-0000-0000-000000000000}">
    <filterColumn colId="1" hiddenButton="1"/>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filterMode="1"/>
  <dimension ref="A1:J64"/>
  <sheetViews>
    <sheetView tabSelected="1" zoomScale="70" zoomScaleNormal="70" workbookViewId="0">
      <selection activeCell="H43" sqref="H43"/>
    </sheetView>
  </sheetViews>
  <sheetFormatPr baseColWidth="10" defaultColWidth="8.7265625" defaultRowHeight="14.5" x14ac:dyDescent="0.35"/>
  <cols>
    <col min="1" max="3" width="16.7265625" customWidth="1"/>
    <col min="4" max="4" width="22.7265625" customWidth="1"/>
    <col min="5" max="5" width="17.7265625" customWidth="1"/>
    <col min="6" max="6" width="20.7265625" customWidth="1"/>
  </cols>
  <sheetData>
    <row r="1" spans="1:8" x14ac:dyDescent="0.35">
      <c r="A1" s="1" t="s">
        <v>0</v>
      </c>
      <c r="B1" s="1" t="s">
        <v>8</v>
      </c>
      <c r="C1" s="1" t="s">
        <v>9</v>
      </c>
      <c r="D1" s="1" t="s">
        <v>10</v>
      </c>
      <c r="E1" s="1" t="s">
        <v>11</v>
      </c>
      <c r="F1" s="1" t="s">
        <v>12</v>
      </c>
    </row>
    <row r="2" spans="1:8" hidden="1" x14ac:dyDescent="0.35">
      <c r="A2" s="4" t="s">
        <v>5</v>
      </c>
      <c r="B2" s="4" t="s">
        <v>13</v>
      </c>
      <c r="C2" s="4" t="s">
        <v>16</v>
      </c>
      <c r="D2" s="4">
        <v>0</v>
      </c>
      <c r="E2" s="4"/>
      <c r="F2" s="4">
        <f>ABS(E2-D2)</f>
        <v>0</v>
      </c>
    </row>
    <row r="3" spans="1:8" hidden="1" x14ac:dyDescent="0.35">
      <c r="A3" s="4" t="s">
        <v>5</v>
      </c>
      <c r="B3" s="4" t="s">
        <v>13</v>
      </c>
      <c r="C3" s="4" t="s">
        <v>16</v>
      </c>
      <c r="D3" s="4">
        <v>90</v>
      </c>
      <c r="E3" s="4"/>
      <c r="F3" s="4">
        <f t="shared" ref="F3:F64" si="0">ABS(E3-D3)</f>
        <v>90</v>
      </c>
      <c r="H3" t="s">
        <v>37</v>
      </c>
    </row>
    <row r="4" spans="1:8" hidden="1" x14ac:dyDescent="0.35">
      <c r="A4" s="4" t="s">
        <v>5</v>
      </c>
      <c r="B4" s="4" t="s">
        <v>13</v>
      </c>
      <c r="C4" s="4" t="s">
        <v>16</v>
      </c>
      <c r="D4" s="4">
        <v>180</v>
      </c>
      <c r="E4" s="4"/>
      <c r="F4" s="4">
        <f t="shared" si="0"/>
        <v>180</v>
      </c>
    </row>
    <row r="5" spans="1:8" hidden="1" x14ac:dyDescent="0.35">
      <c r="A5" s="4" t="s">
        <v>5</v>
      </c>
      <c r="B5" s="4" t="s">
        <v>13</v>
      </c>
      <c r="C5" s="4" t="s">
        <v>17</v>
      </c>
      <c r="D5" s="4">
        <v>0</v>
      </c>
      <c r="E5" s="4"/>
      <c r="F5" s="4">
        <f t="shared" si="0"/>
        <v>0</v>
      </c>
    </row>
    <row r="6" spans="1:8" hidden="1" x14ac:dyDescent="0.35">
      <c r="A6" s="4" t="s">
        <v>5</v>
      </c>
      <c r="B6" s="4" t="s">
        <v>13</v>
      </c>
      <c r="C6" s="4" t="s">
        <v>17</v>
      </c>
      <c r="D6" s="4">
        <v>45</v>
      </c>
      <c r="E6" s="4"/>
      <c r="F6" s="4">
        <f t="shared" si="0"/>
        <v>45</v>
      </c>
    </row>
    <row r="7" spans="1:8" hidden="1" x14ac:dyDescent="0.35">
      <c r="A7" s="4" t="s">
        <v>5</v>
      </c>
      <c r="B7" s="4" t="s">
        <v>13</v>
      </c>
      <c r="C7" s="4" t="s">
        <v>17</v>
      </c>
      <c r="D7" s="4">
        <v>90</v>
      </c>
      <c r="E7" s="4"/>
      <c r="F7" s="4">
        <f t="shared" si="0"/>
        <v>90</v>
      </c>
    </row>
    <row r="8" spans="1:8" hidden="1" x14ac:dyDescent="0.35">
      <c r="A8" s="4" t="s">
        <v>5</v>
      </c>
      <c r="B8" s="4" t="s">
        <v>13</v>
      </c>
      <c r="C8" s="4" t="s">
        <v>18</v>
      </c>
      <c r="D8" s="4">
        <v>0</v>
      </c>
      <c r="E8" s="4"/>
      <c r="F8" s="4">
        <f t="shared" si="0"/>
        <v>0</v>
      </c>
    </row>
    <row r="9" spans="1:8" hidden="1" x14ac:dyDescent="0.35">
      <c r="A9" s="4" t="s">
        <v>5</v>
      </c>
      <c r="B9" s="4" t="s">
        <v>13</v>
      </c>
      <c r="C9" s="4" t="s">
        <v>18</v>
      </c>
      <c r="D9" s="4">
        <v>90</v>
      </c>
      <c r="E9" s="4"/>
      <c r="F9" s="4">
        <f t="shared" si="0"/>
        <v>90</v>
      </c>
    </row>
    <row r="10" spans="1:8" hidden="1" x14ac:dyDescent="0.35">
      <c r="A10" s="4" t="s">
        <v>5</v>
      </c>
      <c r="B10" s="4" t="s">
        <v>13</v>
      </c>
      <c r="C10" s="4" t="s">
        <v>18</v>
      </c>
      <c r="D10" s="4">
        <v>-90</v>
      </c>
      <c r="E10" s="4"/>
      <c r="F10" s="4">
        <f t="shared" si="0"/>
        <v>90</v>
      </c>
    </row>
    <row r="11" spans="1:8" hidden="1" x14ac:dyDescent="0.35">
      <c r="A11" s="5" t="s">
        <v>5</v>
      </c>
      <c r="B11" s="5" t="s">
        <v>14</v>
      </c>
      <c r="C11" s="5" t="s">
        <v>16</v>
      </c>
      <c r="D11" s="5">
        <v>0</v>
      </c>
      <c r="E11" s="5"/>
      <c r="F11" s="5">
        <f t="shared" si="0"/>
        <v>0</v>
      </c>
    </row>
    <row r="12" spans="1:8" hidden="1" x14ac:dyDescent="0.35">
      <c r="A12" s="5" t="s">
        <v>5</v>
      </c>
      <c r="B12" s="5" t="s">
        <v>14</v>
      </c>
      <c r="C12" s="5" t="s">
        <v>16</v>
      </c>
      <c r="D12" s="5">
        <v>90</v>
      </c>
      <c r="E12" s="5"/>
      <c r="F12" s="5">
        <f t="shared" si="0"/>
        <v>90</v>
      </c>
    </row>
    <row r="13" spans="1:8" hidden="1" x14ac:dyDescent="0.35">
      <c r="A13" s="5" t="s">
        <v>5</v>
      </c>
      <c r="B13" s="5" t="s">
        <v>14</v>
      </c>
      <c r="C13" s="5" t="s">
        <v>16</v>
      </c>
      <c r="D13" s="5">
        <v>145</v>
      </c>
      <c r="E13" s="5"/>
      <c r="F13" s="5">
        <f t="shared" si="0"/>
        <v>145</v>
      </c>
    </row>
    <row r="14" spans="1:8" hidden="1" x14ac:dyDescent="0.35">
      <c r="A14" s="5" t="s">
        <v>5</v>
      </c>
      <c r="B14" s="5" t="s">
        <v>14</v>
      </c>
      <c r="C14" s="5" t="s">
        <v>19</v>
      </c>
      <c r="D14" s="5">
        <v>0</v>
      </c>
      <c r="E14" s="5"/>
      <c r="F14" s="5">
        <f t="shared" si="0"/>
        <v>0</v>
      </c>
    </row>
    <row r="15" spans="1:8" hidden="1" x14ac:dyDescent="0.35">
      <c r="A15" s="5" t="s">
        <v>5</v>
      </c>
      <c r="B15" s="5" t="s">
        <v>14</v>
      </c>
      <c r="C15" s="5" t="s">
        <v>19</v>
      </c>
      <c r="D15" s="5">
        <v>85</v>
      </c>
      <c r="E15" s="5"/>
      <c r="F15" s="5">
        <f t="shared" si="0"/>
        <v>85</v>
      </c>
    </row>
    <row r="16" spans="1:8" hidden="1" x14ac:dyDescent="0.35">
      <c r="A16" s="5" t="s">
        <v>5</v>
      </c>
      <c r="B16" s="5" t="s">
        <v>14</v>
      </c>
      <c r="C16" s="5" t="s">
        <v>19</v>
      </c>
      <c r="D16" s="5">
        <v>-85</v>
      </c>
      <c r="E16" s="5"/>
      <c r="F16" s="5">
        <f t="shared" si="0"/>
        <v>85</v>
      </c>
    </row>
    <row r="17" spans="1:10" hidden="1" x14ac:dyDescent="0.35">
      <c r="A17" s="6" t="s">
        <v>5</v>
      </c>
      <c r="B17" s="6" t="s">
        <v>15</v>
      </c>
      <c r="C17" s="6" t="s">
        <v>16</v>
      </c>
      <c r="D17" s="6">
        <v>0</v>
      </c>
      <c r="E17" s="6"/>
      <c r="F17" s="6">
        <f t="shared" si="0"/>
        <v>0</v>
      </c>
    </row>
    <row r="18" spans="1:10" hidden="1" x14ac:dyDescent="0.35">
      <c r="A18" s="6" t="s">
        <v>5</v>
      </c>
      <c r="B18" s="6" t="s">
        <v>15</v>
      </c>
      <c r="C18" s="6" t="s">
        <v>16</v>
      </c>
      <c r="D18" s="6">
        <v>70</v>
      </c>
      <c r="E18" s="6"/>
      <c r="F18" s="6">
        <f t="shared" si="0"/>
        <v>70</v>
      </c>
    </row>
    <row r="19" spans="1:10" hidden="1" x14ac:dyDescent="0.35">
      <c r="A19" s="6" t="s">
        <v>5</v>
      </c>
      <c r="B19" s="6" t="s">
        <v>15</v>
      </c>
      <c r="C19" s="6" t="s">
        <v>16</v>
      </c>
      <c r="D19" s="6">
        <v>-70</v>
      </c>
      <c r="E19" s="6"/>
      <c r="F19" s="6">
        <f t="shared" si="0"/>
        <v>70</v>
      </c>
    </row>
    <row r="20" spans="1:10" hidden="1" x14ac:dyDescent="0.35">
      <c r="A20" s="6" t="s">
        <v>5</v>
      </c>
      <c r="B20" s="6" t="s">
        <v>15</v>
      </c>
      <c r="C20" s="6" t="s">
        <v>20</v>
      </c>
      <c r="D20" s="6">
        <v>0</v>
      </c>
      <c r="E20" s="6"/>
      <c r="F20" s="6">
        <f t="shared" si="0"/>
        <v>0</v>
      </c>
    </row>
    <row r="21" spans="1:10" hidden="1" x14ac:dyDescent="0.35">
      <c r="A21" s="6" t="s">
        <v>5</v>
      </c>
      <c r="B21" s="6" t="s">
        <v>15</v>
      </c>
      <c r="C21" s="6" t="s">
        <v>20</v>
      </c>
      <c r="D21" s="6">
        <v>20</v>
      </c>
      <c r="E21" s="6"/>
      <c r="F21" s="6">
        <f t="shared" si="0"/>
        <v>20</v>
      </c>
    </row>
    <row r="22" spans="1:10" hidden="1" x14ac:dyDescent="0.35">
      <c r="A22" s="6" t="s">
        <v>5</v>
      </c>
      <c r="B22" s="6" t="s">
        <v>15</v>
      </c>
      <c r="C22" s="6" t="s">
        <v>20</v>
      </c>
      <c r="D22" s="6">
        <v>-30</v>
      </c>
      <c r="E22" s="6"/>
      <c r="F22" s="6">
        <f t="shared" si="0"/>
        <v>30</v>
      </c>
    </row>
    <row r="23" spans="1:10" x14ac:dyDescent="0.35">
      <c r="A23" s="4" t="s">
        <v>6</v>
      </c>
      <c r="B23" s="4" t="s">
        <v>13</v>
      </c>
      <c r="C23" s="4" t="s">
        <v>16</v>
      </c>
      <c r="D23" s="4">
        <v>0</v>
      </c>
      <c r="E23" s="4" t="s">
        <v>49</v>
      </c>
      <c r="F23" s="4" t="e">
        <f t="shared" si="0"/>
        <v>#VALUE!</v>
      </c>
    </row>
    <row r="24" spans="1:10" x14ac:dyDescent="0.35">
      <c r="A24" s="4" t="s">
        <v>6</v>
      </c>
      <c r="B24" s="4" t="s">
        <v>13</v>
      </c>
      <c r="C24" s="4" t="s">
        <v>16</v>
      </c>
      <c r="D24" s="4">
        <v>90</v>
      </c>
      <c r="E24" s="4">
        <v>83.2</v>
      </c>
      <c r="F24" s="4">
        <f t="shared" si="0"/>
        <v>6.7999999999999972</v>
      </c>
      <c r="G24" s="10"/>
    </row>
    <row r="25" spans="1:10" x14ac:dyDescent="0.35">
      <c r="A25" s="4" t="s">
        <v>6</v>
      </c>
      <c r="B25" s="4" t="s">
        <v>13</v>
      </c>
      <c r="C25" s="4" t="s">
        <v>16</v>
      </c>
      <c r="D25" s="4">
        <v>180</v>
      </c>
      <c r="E25" s="4">
        <v>158.80000000000001</v>
      </c>
      <c r="F25" s="4">
        <f t="shared" si="0"/>
        <v>21.199999999999989</v>
      </c>
      <c r="G25" s="11"/>
      <c r="H25" t="s">
        <v>50</v>
      </c>
    </row>
    <row r="26" spans="1:10" x14ac:dyDescent="0.35">
      <c r="A26" s="4" t="s">
        <v>6</v>
      </c>
      <c r="B26" s="4" t="s">
        <v>13</v>
      </c>
      <c r="C26" s="4" t="s">
        <v>17</v>
      </c>
      <c r="D26" s="4">
        <v>0</v>
      </c>
      <c r="E26" s="4" t="s">
        <v>49</v>
      </c>
      <c r="F26" s="4" t="e">
        <f t="shared" si="0"/>
        <v>#VALUE!</v>
      </c>
    </row>
    <row r="27" spans="1:10" x14ac:dyDescent="0.35">
      <c r="A27" s="4" t="s">
        <v>6</v>
      </c>
      <c r="B27" s="4" t="s">
        <v>13</v>
      </c>
      <c r="C27" s="4" t="s">
        <v>17</v>
      </c>
      <c r="D27" s="4">
        <v>45</v>
      </c>
      <c r="E27" s="4">
        <v>49.6</v>
      </c>
      <c r="F27" s="4">
        <f t="shared" si="0"/>
        <v>4.6000000000000014</v>
      </c>
      <c r="G27" s="9"/>
    </row>
    <row r="28" spans="1:10" x14ac:dyDescent="0.35">
      <c r="A28" s="4" t="s">
        <v>6</v>
      </c>
      <c r="B28" s="4" t="s">
        <v>13</v>
      </c>
      <c r="C28" s="4" t="s">
        <v>17</v>
      </c>
      <c r="D28" s="4">
        <v>90</v>
      </c>
      <c r="E28" s="4">
        <v>92.4</v>
      </c>
      <c r="F28" s="4">
        <f t="shared" si="0"/>
        <v>2.4000000000000057</v>
      </c>
      <c r="G28" s="9"/>
    </row>
    <row r="29" spans="1:10" x14ac:dyDescent="0.35">
      <c r="A29" s="4" t="s">
        <v>6</v>
      </c>
      <c r="B29" s="4" t="s">
        <v>13</v>
      </c>
      <c r="C29" s="4" t="s">
        <v>18</v>
      </c>
      <c r="D29" s="4">
        <v>0</v>
      </c>
      <c r="E29" s="4">
        <v>44.7</v>
      </c>
      <c r="F29" s="4">
        <f t="shared" si="0"/>
        <v>44.7</v>
      </c>
      <c r="G29" s="11"/>
      <c r="H29" t="s">
        <v>52</v>
      </c>
    </row>
    <row r="30" spans="1:10" x14ac:dyDescent="0.35">
      <c r="A30" s="4" t="s">
        <v>6</v>
      </c>
      <c r="B30" s="4" t="s">
        <v>13</v>
      </c>
      <c r="C30" s="4" t="s">
        <v>18</v>
      </c>
      <c r="D30" s="4">
        <v>90</v>
      </c>
      <c r="E30" s="4">
        <v>92.8</v>
      </c>
      <c r="F30" s="4">
        <f t="shared" si="0"/>
        <v>2.7999999999999972</v>
      </c>
      <c r="G30" s="9"/>
      <c r="H30" t="s">
        <v>51</v>
      </c>
      <c r="J30" t="s">
        <v>54</v>
      </c>
    </row>
    <row r="31" spans="1:10" x14ac:dyDescent="0.35">
      <c r="A31" s="4" t="s">
        <v>6</v>
      </c>
      <c r="B31" s="4" t="s">
        <v>13</v>
      </c>
      <c r="C31" s="4" t="s">
        <v>18</v>
      </c>
      <c r="D31" s="4">
        <v>180</v>
      </c>
      <c r="E31" s="4">
        <v>141.5</v>
      </c>
      <c r="F31" s="4">
        <f t="shared" si="0"/>
        <v>38.5</v>
      </c>
      <c r="G31" s="11"/>
      <c r="H31" t="s">
        <v>53</v>
      </c>
    </row>
    <row r="32" spans="1:10" x14ac:dyDescent="0.35">
      <c r="A32" s="5" t="s">
        <v>6</v>
      </c>
      <c r="B32" s="5" t="s">
        <v>14</v>
      </c>
      <c r="C32" s="5" t="s">
        <v>16</v>
      </c>
      <c r="D32" s="5">
        <v>0</v>
      </c>
      <c r="E32" s="5" t="s">
        <v>49</v>
      </c>
      <c r="F32" s="5" t="e">
        <f t="shared" si="0"/>
        <v>#VALUE!</v>
      </c>
    </row>
    <row r="33" spans="1:8" x14ac:dyDescent="0.35">
      <c r="A33" s="5" t="s">
        <v>6</v>
      </c>
      <c r="B33" s="5" t="s">
        <v>14</v>
      </c>
      <c r="C33" s="5" t="s">
        <v>16</v>
      </c>
      <c r="D33" s="5">
        <v>90</v>
      </c>
      <c r="E33" s="5">
        <v>66</v>
      </c>
      <c r="F33" s="5">
        <f t="shared" si="0"/>
        <v>24</v>
      </c>
      <c r="G33" s="11"/>
    </row>
    <row r="34" spans="1:8" x14ac:dyDescent="0.35">
      <c r="A34" s="5" t="s">
        <v>6</v>
      </c>
      <c r="B34" s="5" t="s">
        <v>14</v>
      </c>
      <c r="C34" s="5" t="s">
        <v>16</v>
      </c>
      <c r="D34" s="5">
        <v>145</v>
      </c>
      <c r="E34" s="5">
        <v>117.7</v>
      </c>
      <c r="F34" s="5">
        <f t="shared" si="0"/>
        <v>27.299999999999997</v>
      </c>
      <c r="G34" s="11"/>
    </row>
    <row r="35" spans="1:8" x14ac:dyDescent="0.35">
      <c r="A35" s="5" t="s">
        <v>6</v>
      </c>
      <c r="B35" s="5" t="s">
        <v>14</v>
      </c>
      <c r="C35" s="5" t="s">
        <v>19</v>
      </c>
      <c r="D35" s="5">
        <v>0</v>
      </c>
      <c r="E35" s="5" t="s">
        <v>49</v>
      </c>
      <c r="F35" s="5" t="e">
        <f t="shared" si="0"/>
        <v>#VALUE!</v>
      </c>
    </row>
    <row r="36" spans="1:8" x14ac:dyDescent="0.35">
      <c r="A36" s="5" t="s">
        <v>6</v>
      </c>
      <c r="B36" s="5" t="s">
        <v>14</v>
      </c>
      <c r="C36" s="5" t="s">
        <v>19</v>
      </c>
      <c r="D36" s="5">
        <v>85</v>
      </c>
      <c r="E36" s="5">
        <v>67.2</v>
      </c>
      <c r="F36" s="5">
        <f t="shared" si="0"/>
        <v>17.799999999999997</v>
      </c>
      <c r="G36" s="11"/>
      <c r="H36" t="s">
        <v>56</v>
      </c>
    </row>
    <row r="37" spans="1:8" x14ac:dyDescent="0.35">
      <c r="A37" s="5" t="s">
        <v>6</v>
      </c>
      <c r="B37" s="5" t="s">
        <v>14</v>
      </c>
      <c r="C37" s="5" t="s">
        <v>19</v>
      </c>
      <c r="D37" s="5">
        <v>85</v>
      </c>
      <c r="E37" s="5">
        <v>38.5</v>
      </c>
      <c r="F37" s="5">
        <f t="shared" si="0"/>
        <v>46.5</v>
      </c>
      <c r="G37" s="11"/>
      <c r="H37" t="s">
        <v>55</v>
      </c>
    </row>
    <row r="38" spans="1:8" x14ac:dyDescent="0.35">
      <c r="A38" s="6" t="s">
        <v>6</v>
      </c>
      <c r="B38" s="6" t="s">
        <v>15</v>
      </c>
      <c r="C38" s="6" t="s">
        <v>16</v>
      </c>
      <c r="D38" s="6">
        <v>0</v>
      </c>
      <c r="E38" s="6"/>
      <c r="F38" s="6">
        <f t="shared" si="0"/>
        <v>0</v>
      </c>
    </row>
    <row r="39" spans="1:8" x14ac:dyDescent="0.35">
      <c r="A39" s="6" t="s">
        <v>6</v>
      </c>
      <c r="B39" s="6" t="s">
        <v>15</v>
      </c>
      <c r="C39" s="6" t="s">
        <v>16</v>
      </c>
      <c r="D39" s="6">
        <v>70</v>
      </c>
      <c r="E39" s="6">
        <v>66.099999999999994</v>
      </c>
      <c r="F39" s="6">
        <f t="shared" si="0"/>
        <v>3.9000000000000057</v>
      </c>
      <c r="G39" s="9"/>
      <c r="H39" t="s">
        <v>57</v>
      </c>
    </row>
    <row r="40" spans="1:8" x14ac:dyDescent="0.35">
      <c r="A40" s="6" t="s">
        <v>6</v>
      </c>
      <c r="B40" s="6" t="s">
        <v>15</v>
      </c>
      <c r="C40" s="6" t="s">
        <v>16</v>
      </c>
      <c r="D40" s="6">
        <v>70</v>
      </c>
      <c r="E40" s="6">
        <v>53.2</v>
      </c>
      <c r="F40" s="6">
        <f t="shared" si="0"/>
        <v>16.799999999999997</v>
      </c>
      <c r="G40" s="11"/>
      <c r="H40" t="s">
        <v>58</v>
      </c>
    </row>
    <row r="41" spans="1:8" x14ac:dyDescent="0.35">
      <c r="A41" s="6" t="s">
        <v>6</v>
      </c>
      <c r="B41" s="6" t="s">
        <v>15</v>
      </c>
      <c r="C41" s="6" t="s">
        <v>20</v>
      </c>
      <c r="D41" s="6">
        <v>0</v>
      </c>
      <c r="E41" s="6"/>
      <c r="F41" s="6">
        <f t="shared" si="0"/>
        <v>0</v>
      </c>
    </row>
    <row r="42" spans="1:8" x14ac:dyDescent="0.35">
      <c r="A42" s="6" t="s">
        <v>6</v>
      </c>
      <c r="B42" s="6" t="s">
        <v>15</v>
      </c>
      <c r="C42" s="6" t="s">
        <v>20</v>
      </c>
      <c r="D42" s="6">
        <v>20</v>
      </c>
      <c r="E42" s="6"/>
      <c r="F42" s="6">
        <f t="shared" si="0"/>
        <v>20</v>
      </c>
    </row>
    <row r="43" spans="1:8" x14ac:dyDescent="0.35">
      <c r="A43" s="6" t="s">
        <v>6</v>
      </c>
      <c r="B43" s="6" t="s">
        <v>15</v>
      </c>
      <c r="C43" s="6" t="s">
        <v>20</v>
      </c>
      <c r="D43" s="6">
        <v>-30</v>
      </c>
      <c r="E43" s="6"/>
      <c r="F43" s="6">
        <f t="shared" si="0"/>
        <v>30</v>
      </c>
    </row>
    <row r="44" spans="1:8" hidden="1" x14ac:dyDescent="0.35">
      <c r="A44" s="4" t="s">
        <v>7</v>
      </c>
      <c r="B44" s="4" t="s">
        <v>13</v>
      </c>
      <c r="C44" s="4" t="s">
        <v>16</v>
      </c>
      <c r="D44" s="4">
        <v>0</v>
      </c>
      <c r="E44" s="4"/>
      <c r="F44" s="4">
        <f t="shared" si="0"/>
        <v>0</v>
      </c>
    </row>
    <row r="45" spans="1:8" hidden="1" x14ac:dyDescent="0.35">
      <c r="A45" s="4" t="s">
        <v>7</v>
      </c>
      <c r="B45" s="4" t="s">
        <v>13</v>
      </c>
      <c r="C45" s="4" t="s">
        <v>16</v>
      </c>
      <c r="D45" s="4">
        <v>90</v>
      </c>
      <c r="E45" s="4"/>
      <c r="F45" s="4">
        <f t="shared" si="0"/>
        <v>90</v>
      </c>
    </row>
    <row r="46" spans="1:8" hidden="1" x14ac:dyDescent="0.35">
      <c r="A46" s="4" t="s">
        <v>7</v>
      </c>
      <c r="B46" s="4" t="s">
        <v>13</v>
      </c>
      <c r="C46" s="4" t="s">
        <v>16</v>
      </c>
      <c r="D46" s="4">
        <v>180</v>
      </c>
      <c r="E46" s="4"/>
      <c r="F46" s="4">
        <f t="shared" si="0"/>
        <v>180</v>
      </c>
    </row>
    <row r="47" spans="1:8" hidden="1" x14ac:dyDescent="0.35">
      <c r="A47" s="4" t="s">
        <v>7</v>
      </c>
      <c r="B47" s="4" t="s">
        <v>13</v>
      </c>
      <c r="C47" s="4" t="s">
        <v>17</v>
      </c>
      <c r="D47" s="4">
        <v>0</v>
      </c>
      <c r="E47" s="4"/>
      <c r="F47" s="4">
        <f t="shared" si="0"/>
        <v>0</v>
      </c>
    </row>
    <row r="48" spans="1:8" hidden="1" x14ac:dyDescent="0.35">
      <c r="A48" s="4" t="s">
        <v>7</v>
      </c>
      <c r="B48" s="4" t="s">
        <v>13</v>
      </c>
      <c r="C48" s="4" t="s">
        <v>17</v>
      </c>
      <c r="D48" s="4">
        <v>45</v>
      </c>
      <c r="E48" s="4"/>
      <c r="F48" s="4">
        <f t="shared" si="0"/>
        <v>45</v>
      </c>
    </row>
    <row r="49" spans="1:6" hidden="1" x14ac:dyDescent="0.35">
      <c r="A49" s="4" t="s">
        <v>7</v>
      </c>
      <c r="B49" s="4" t="s">
        <v>13</v>
      </c>
      <c r="C49" s="4" t="s">
        <v>17</v>
      </c>
      <c r="D49" s="4">
        <v>90</v>
      </c>
      <c r="E49" s="4"/>
      <c r="F49" s="4">
        <f t="shared" si="0"/>
        <v>90</v>
      </c>
    </row>
    <row r="50" spans="1:6" hidden="1" x14ac:dyDescent="0.35">
      <c r="A50" s="4" t="s">
        <v>7</v>
      </c>
      <c r="B50" s="4" t="s">
        <v>13</v>
      </c>
      <c r="C50" s="4" t="s">
        <v>18</v>
      </c>
      <c r="D50" s="4">
        <v>0</v>
      </c>
      <c r="E50" s="4"/>
      <c r="F50" s="4">
        <f t="shared" si="0"/>
        <v>0</v>
      </c>
    </row>
    <row r="51" spans="1:6" hidden="1" x14ac:dyDescent="0.35">
      <c r="A51" s="4" t="s">
        <v>7</v>
      </c>
      <c r="B51" s="4" t="s">
        <v>13</v>
      </c>
      <c r="C51" s="4" t="s">
        <v>18</v>
      </c>
      <c r="D51" s="4">
        <v>90</v>
      </c>
      <c r="E51" s="4"/>
      <c r="F51" s="4">
        <f t="shared" si="0"/>
        <v>90</v>
      </c>
    </row>
    <row r="52" spans="1:6" hidden="1" x14ac:dyDescent="0.35">
      <c r="A52" s="4" t="s">
        <v>7</v>
      </c>
      <c r="B52" s="4" t="s">
        <v>13</v>
      </c>
      <c r="C52" s="4" t="s">
        <v>18</v>
      </c>
      <c r="D52" s="4">
        <v>-90</v>
      </c>
      <c r="E52" s="4"/>
      <c r="F52" s="4">
        <f t="shared" si="0"/>
        <v>90</v>
      </c>
    </row>
    <row r="53" spans="1:6" hidden="1" x14ac:dyDescent="0.35">
      <c r="A53" s="5" t="s">
        <v>7</v>
      </c>
      <c r="B53" s="5" t="s">
        <v>14</v>
      </c>
      <c r="C53" s="5" t="s">
        <v>16</v>
      </c>
      <c r="D53" s="5">
        <v>0</v>
      </c>
      <c r="E53" s="5"/>
      <c r="F53" s="5">
        <f t="shared" si="0"/>
        <v>0</v>
      </c>
    </row>
    <row r="54" spans="1:6" hidden="1" x14ac:dyDescent="0.35">
      <c r="A54" s="5" t="s">
        <v>7</v>
      </c>
      <c r="B54" s="5" t="s">
        <v>14</v>
      </c>
      <c r="C54" s="5" t="s">
        <v>16</v>
      </c>
      <c r="D54" s="5">
        <v>90</v>
      </c>
      <c r="E54" s="5"/>
      <c r="F54" s="5">
        <f t="shared" si="0"/>
        <v>90</v>
      </c>
    </row>
    <row r="55" spans="1:6" hidden="1" x14ac:dyDescent="0.35">
      <c r="A55" s="5" t="s">
        <v>7</v>
      </c>
      <c r="B55" s="5" t="s">
        <v>14</v>
      </c>
      <c r="C55" s="5" t="s">
        <v>16</v>
      </c>
      <c r="D55" s="5">
        <v>145</v>
      </c>
      <c r="E55" s="5"/>
      <c r="F55" s="5">
        <f t="shared" si="0"/>
        <v>145</v>
      </c>
    </row>
    <row r="56" spans="1:6" hidden="1" x14ac:dyDescent="0.35">
      <c r="A56" s="5" t="s">
        <v>7</v>
      </c>
      <c r="B56" s="5" t="s">
        <v>14</v>
      </c>
      <c r="C56" s="5" t="s">
        <v>19</v>
      </c>
      <c r="D56" s="5">
        <v>0</v>
      </c>
      <c r="E56" s="5"/>
      <c r="F56" s="5">
        <f t="shared" si="0"/>
        <v>0</v>
      </c>
    </row>
    <row r="57" spans="1:6" hidden="1" x14ac:dyDescent="0.35">
      <c r="A57" s="5" t="s">
        <v>7</v>
      </c>
      <c r="B57" s="5" t="s">
        <v>14</v>
      </c>
      <c r="C57" s="5" t="s">
        <v>19</v>
      </c>
      <c r="D57" s="5">
        <v>85</v>
      </c>
      <c r="E57" s="5"/>
      <c r="F57" s="5">
        <f t="shared" si="0"/>
        <v>85</v>
      </c>
    </row>
    <row r="58" spans="1:6" hidden="1" x14ac:dyDescent="0.35">
      <c r="A58" s="5" t="s">
        <v>7</v>
      </c>
      <c r="B58" s="5" t="s">
        <v>14</v>
      </c>
      <c r="C58" s="5" t="s">
        <v>19</v>
      </c>
      <c r="D58" s="5">
        <v>-85</v>
      </c>
      <c r="E58" s="5"/>
      <c r="F58" s="5">
        <f t="shared" si="0"/>
        <v>85</v>
      </c>
    </row>
    <row r="59" spans="1:6" hidden="1" x14ac:dyDescent="0.35">
      <c r="A59" s="6" t="s">
        <v>7</v>
      </c>
      <c r="B59" s="6" t="s">
        <v>15</v>
      </c>
      <c r="C59" s="6" t="s">
        <v>16</v>
      </c>
      <c r="D59" s="6">
        <v>0</v>
      </c>
      <c r="E59" s="6"/>
      <c r="F59" s="6">
        <f t="shared" si="0"/>
        <v>0</v>
      </c>
    </row>
    <row r="60" spans="1:6" hidden="1" x14ac:dyDescent="0.35">
      <c r="A60" s="6" t="s">
        <v>7</v>
      </c>
      <c r="B60" s="6" t="s">
        <v>15</v>
      </c>
      <c r="C60" s="6" t="s">
        <v>16</v>
      </c>
      <c r="D60" s="6">
        <v>70</v>
      </c>
      <c r="E60" s="6"/>
      <c r="F60" s="6">
        <f t="shared" si="0"/>
        <v>70</v>
      </c>
    </row>
    <row r="61" spans="1:6" hidden="1" x14ac:dyDescent="0.35">
      <c r="A61" s="6" t="s">
        <v>7</v>
      </c>
      <c r="B61" s="6" t="s">
        <v>15</v>
      </c>
      <c r="C61" s="6" t="s">
        <v>16</v>
      </c>
      <c r="D61" s="6">
        <v>-70</v>
      </c>
      <c r="E61" s="6"/>
      <c r="F61" s="6">
        <f t="shared" si="0"/>
        <v>70</v>
      </c>
    </row>
    <row r="62" spans="1:6" hidden="1" x14ac:dyDescent="0.35">
      <c r="A62" s="6" t="s">
        <v>7</v>
      </c>
      <c r="B62" s="6" t="s">
        <v>15</v>
      </c>
      <c r="C62" s="6" t="s">
        <v>20</v>
      </c>
      <c r="D62" s="6">
        <v>0</v>
      </c>
      <c r="E62" s="6"/>
      <c r="F62" s="6">
        <f t="shared" si="0"/>
        <v>0</v>
      </c>
    </row>
    <row r="63" spans="1:6" hidden="1" x14ac:dyDescent="0.35">
      <c r="A63" s="6" t="s">
        <v>7</v>
      </c>
      <c r="B63" s="6" t="s">
        <v>15</v>
      </c>
      <c r="C63" s="6" t="s">
        <v>20</v>
      </c>
      <c r="D63" s="6">
        <v>20</v>
      </c>
      <c r="E63" s="6"/>
      <c r="F63" s="6">
        <f t="shared" si="0"/>
        <v>20</v>
      </c>
    </row>
    <row r="64" spans="1:6" hidden="1" x14ac:dyDescent="0.35">
      <c r="A64" s="6" t="s">
        <v>7</v>
      </c>
      <c r="B64" s="6" t="s">
        <v>15</v>
      </c>
      <c r="C64" s="6" t="s">
        <v>20</v>
      </c>
      <c r="D64" s="6">
        <v>-30</v>
      </c>
      <c r="E64" s="6"/>
      <c r="F64" s="6">
        <f t="shared" si="0"/>
        <v>30</v>
      </c>
    </row>
  </sheetData>
  <autoFilter ref="A1:D64" xr:uid="{00000000-0009-0000-0000-000001000000}">
    <filterColumn colId="0">
      <filters>
        <filter val="S02"/>
      </filters>
    </filterColumn>
    <filterColumn colId="3" hiddenButton="1"/>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I25"/>
  <sheetViews>
    <sheetView topLeftCell="C4" workbookViewId="0">
      <selection activeCell="E11" sqref="E11"/>
    </sheetView>
  </sheetViews>
  <sheetFormatPr baseColWidth="10" defaultColWidth="8.7265625" defaultRowHeight="14.5" x14ac:dyDescent="0.35"/>
  <cols>
    <col min="1" max="2" width="16.7265625" customWidth="1"/>
    <col min="3" max="3" width="24.81640625" bestFit="1" customWidth="1"/>
    <col min="4" max="6" width="16.7265625" customWidth="1"/>
    <col min="7" max="7" width="17.7265625" customWidth="1"/>
  </cols>
  <sheetData>
    <row r="1" spans="1:9" x14ac:dyDescent="0.35">
      <c r="A1" s="1" t="s">
        <v>0</v>
      </c>
      <c r="B1" s="1" t="s">
        <v>8</v>
      </c>
      <c r="C1" s="1" t="s">
        <v>9</v>
      </c>
      <c r="D1" s="1" t="s">
        <v>21</v>
      </c>
      <c r="E1" s="1" t="s">
        <v>22</v>
      </c>
      <c r="F1" s="1" t="s">
        <v>23</v>
      </c>
      <c r="G1" s="1" t="s">
        <v>24</v>
      </c>
    </row>
    <row r="2" spans="1:9" x14ac:dyDescent="0.35">
      <c r="A2" s="4" t="s">
        <v>5</v>
      </c>
      <c r="B2" s="4" t="s">
        <v>13</v>
      </c>
      <c r="C2" s="4" t="s">
        <v>25</v>
      </c>
      <c r="D2" s="4" t="s">
        <v>28</v>
      </c>
      <c r="E2" s="4"/>
      <c r="F2" s="4"/>
      <c r="G2" s="4"/>
    </row>
    <row r="3" spans="1:9" x14ac:dyDescent="0.35">
      <c r="A3" s="4" t="s">
        <v>5</v>
      </c>
      <c r="B3" s="4" t="s">
        <v>13</v>
      </c>
      <c r="C3" s="4" t="s">
        <v>25</v>
      </c>
      <c r="D3" s="4" t="s">
        <v>29</v>
      </c>
      <c r="E3" s="4"/>
      <c r="F3" s="4"/>
      <c r="G3" s="4"/>
      <c r="I3" t="s">
        <v>38</v>
      </c>
    </row>
    <row r="4" spans="1:9" x14ac:dyDescent="0.35">
      <c r="A4" s="4" t="s">
        <v>5</v>
      </c>
      <c r="B4" s="4" t="s">
        <v>13</v>
      </c>
      <c r="C4" s="4" t="s">
        <v>26</v>
      </c>
      <c r="D4" s="4" t="s">
        <v>28</v>
      </c>
      <c r="E4" s="4"/>
      <c r="F4" s="4"/>
      <c r="G4" s="4"/>
      <c r="I4" t="s">
        <v>39</v>
      </c>
    </row>
    <row r="5" spans="1:9" x14ac:dyDescent="0.35">
      <c r="A5" s="4" t="s">
        <v>5</v>
      </c>
      <c r="B5" s="4" t="s">
        <v>13</v>
      </c>
      <c r="C5" s="4" t="s">
        <v>26</v>
      </c>
      <c r="D5" s="4" t="s">
        <v>29</v>
      </c>
      <c r="E5" s="4"/>
      <c r="F5" s="4"/>
      <c r="G5" s="4"/>
      <c r="I5" t="s">
        <v>40</v>
      </c>
    </row>
    <row r="6" spans="1:9" x14ac:dyDescent="0.35">
      <c r="A6" s="5" t="s">
        <v>5</v>
      </c>
      <c r="B6" s="5" t="s">
        <v>14</v>
      </c>
      <c r="C6" s="5" t="s">
        <v>25</v>
      </c>
      <c r="D6" s="5" t="s">
        <v>28</v>
      </c>
      <c r="E6" s="5"/>
      <c r="F6" s="5"/>
      <c r="G6" s="5"/>
    </row>
    <row r="7" spans="1:9" x14ac:dyDescent="0.35">
      <c r="A7" s="5" t="s">
        <v>5</v>
      </c>
      <c r="B7" s="5" t="s">
        <v>14</v>
      </c>
      <c r="C7" s="5" t="s">
        <v>25</v>
      </c>
      <c r="D7" s="5" t="s">
        <v>29</v>
      </c>
      <c r="E7" s="5"/>
      <c r="F7" s="5"/>
      <c r="G7" s="5"/>
    </row>
    <row r="8" spans="1:9" x14ac:dyDescent="0.35">
      <c r="A8" s="5" t="s">
        <v>5</v>
      </c>
      <c r="B8" s="5" t="s">
        <v>14</v>
      </c>
      <c r="C8" s="5" t="s">
        <v>27</v>
      </c>
      <c r="D8" s="5" t="s">
        <v>28</v>
      </c>
      <c r="E8" s="5"/>
      <c r="F8" s="5"/>
      <c r="G8" s="5"/>
    </row>
    <row r="9" spans="1:9" x14ac:dyDescent="0.35">
      <c r="A9" s="5" t="s">
        <v>5</v>
      </c>
      <c r="B9" s="5" t="s">
        <v>14</v>
      </c>
      <c r="C9" s="5" t="s">
        <v>27</v>
      </c>
      <c r="D9" s="5" t="s">
        <v>29</v>
      </c>
      <c r="E9" s="5"/>
      <c r="F9" s="5"/>
      <c r="G9" s="5"/>
      <c r="I9" s="7"/>
    </row>
    <row r="10" spans="1:9" x14ac:dyDescent="0.35">
      <c r="A10" s="4" t="s">
        <v>6</v>
      </c>
      <c r="B10" s="4" t="s">
        <v>13</v>
      </c>
      <c r="C10" s="4" t="s">
        <v>25</v>
      </c>
      <c r="D10" s="4" t="s">
        <v>28</v>
      </c>
      <c r="E10" s="4"/>
      <c r="F10" s="4"/>
      <c r="G10" s="4"/>
    </row>
    <row r="11" spans="1:9" x14ac:dyDescent="0.35">
      <c r="A11" s="4" t="s">
        <v>6</v>
      </c>
      <c r="B11" s="4" t="s">
        <v>13</v>
      </c>
      <c r="C11" s="4" t="s">
        <v>25</v>
      </c>
      <c r="D11" s="4" t="s">
        <v>29</v>
      </c>
      <c r="E11" s="4"/>
      <c r="F11" s="4"/>
      <c r="G11" s="4"/>
    </row>
    <row r="12" spans="1:9" x14ac:dyDescent="0.35">
      <c r="A12" s="4" t="s">
        <v>6</v>
      </c>
      <c r="B12" s="4" t="s">
        <v>13</v>
      </c>
      <c r="C12" s="4" t="s">
        <v>26</v>
      </c>
      <c r="D12" s="4" t="s">
        <v>28</v>
      </c>
      <c r="E12" s="4"/>
      <c r="F12" s="4"/>
      <c r="G12" s="4"/>
    </row>
    <row r="13" spans="1:9" x14ac:dyDescent="0.35">
      <c r="A13" s="4" t="s">
        <v>6</v>
      </c>
      <c r="B13" s="4" t="s">
        <v>13</v>
      </c>
      <c r="C13" s="4" t="s">
        <v>26</v>
      </c>
      <c r="D13" s="4" t="s">
        <v>29</v>
      </c>
      <c r="E13" s="4"/>
      <c r="F13" s="4"/>
      <c r="G13" s="4"/>
    </row>
    <row r="14" spans="1:9" x14ac:dyDescent="0.35">
      <c r="A14" s="5" t="s">
        <v>6</v>
      </c>
      <c r="B14" s="5" t="s">
        <v>14</v>
      </c>
      <c r="C14" s="5" t="s">
        <v>25</v>
      </c>
      <c r="D14" s="5" t="s">
        <v>28</v>
      </c>
      <c r="E14" s="5"/>
      <c r="F14" s="5"/>
      <c r="G14" s="5"/>
    </row>
    <row r="15" spans="1:9" x14ac:dyDescent="0.35">
      <c r="A15" s="5" t="s">
        <v>6</v>
      </c>
      <c r="B15" s="5" t="s">
        <v>14</v>
      </c>
      <c r="C15" s="5" t="s">
        <v>25</v>
      </c>
      <c r="D15" s="5" t="s">
        <v>29</v>
      </c>
      <c r="E15" s="5"/>
      <c r="F15" s="5"/>
      <c r="G15" s="5"/>
    </row>
    <row r="16" spans="1:9" x14ac:dyDescent="0.35">
      <c r="A16" s="5" t="s">
        <v>6</v>
      </c>
      <c r="B16" s="5" t="s">
        <v>14</v>
      </c>
      <c r="C16" s="5" t="s">
        <v>27</v>
      </c>
      <c r="D16" s="5" t="s">
        <v>28</v>
      </c>
      <c r="E16" s="5"/>
      <c r="F16" s="5"/>
      <c r="G16" s="5"/>
    </row>
    <row r="17" spans="1:7" x14ac:dyDescent="0.35">
      <c r="A17" s="5" t="s">
        <v>6</v>
      </c>
      <c r="B17" s="5" t="s">
        <v>14</v>
      </c>
      <c r="C17" s="5" t="s">
        <v>27</v>
      </c>
      <c r="D17" s="5" t="s">
        <v>29</v>
      </c>
      <c r="E17" s="5"/>
      <c r="F17" s="5"/>
      <c r="G17" s="5"/>
    </row>
    <row r="18" spans="1:7" x14ac:dyDescent="0.35">
      <c r="A18" s="4" t="s">
        <v>7</v>
      </c>
      <c r="B18" s="4" t="s">
        <v>13</v>
      </c>
      <c r="C18" s="4" t="s">
        <v>25</v>
      </c>
      <c r="D18" s="4" t="s">
        <v>28</v>
      </c>
      <c r="E18" s="4"/>
      <c r="F18" s="4"/>
      <c r="G18" s="4"/>
    </row>
    <row r="19" spans="1:7" x14ac:dyDescent="0.35">
      <c r="A19" s="4" t="s">
        <v>7</v>
      </c>
      <c r="B19" s="4" t="s">
        <v>13</v>
      </c>
      <c r="C19" s="4" t="s">
        <v>25</v>
      </c>
      <c r="D19" s="4" t="s">
        <v>29</v>
      </c>
      <c r="E19" s="4"/>
      <c r="F19" s="4"/>
      <c r="G19" s="4"/>
    </row>
    <row r="20" spans="1:7" x14ac:dyDescent="0.35">
      <c r="A20" s="4" t="s">
        <v>7</v>
      </c>
      <c r="B20" s="4" t="s">
        <v>13</v>
      </c>
      <c r="C20" s="4" t="s">
        <v>26</v>
      </c>
      <c r="D20" s="4" t="s">
        <v>28</v>
      </c>
      <c r="E20" s="4"/>
      <c r="F20" s="4"/>
      <c r="G20" s="4"/>
    </row>
    <row r="21" spans="1:7" x14ac:dyDescent="0.35">
      <c r="A21" s="4" t="s">
        <v>7</v>
      </c>
      <c r="B21" s="4" t="s">
        <v>13</v>
      </c>
      <c r="C21" s="4" t="s">
        <v>26</v>
      </c>
      <c r="D21" s="4" t="s">
        <v>29</v>
      </c>
      <c r="E21" s="4"/>
      <c r="F21" s="4"/>
      <c r="G21" s="4"/>
    </row>
    <row r="22" spans="1:7" x14ac:dyDescent="0.35">
      <c r="A22" s="5" t="s">
        <v>7</v>
      </c>
      <c r="B22" s="5" t="s">
        <v>14</v>
      </c>
      <c r="C22" s="5" t="s">
        <v>25</v>
      </c>
      <c r="D22" s="5" t="s">
        <v>28</v>
      </c>
      <c r="E22" s="5"/>
      <c r="F22" s="5"/>
      <c r="G22" s="5"/>
    </row>
    <row r="23" spans="1:7" x14ac:dyDescent="0.35">
      <c r="A23" s="5" t="s">
        <v>7</v>
      </c>
      <c r="B23" s="5" t="s">
        <v>14</v>
      </c>
      <c r="C23" s="5" t="s">
        <v>25</v>
      </c>
      <c r="D23" s="5" t="s">
        <v>29</v>
      </c>
      <c r="E23" s="5"/>
      <c r="F23" s="5"/>
      <c r="G23" s="5"/>
    </row>
    <row r="24" spans="1:7" x14ac:dyDescent="0.35">
      <c r="A24" s="5" t="s">
        <v>7</v>
      </c>
      <c r="B24" s="5" t="s">
        <v>14</v>
      </c>
      <c r="C24" s="5" t="s">
        <v>27</v>
      </c>
      <c r="D24" s="5" t="s">
        <v>28</v>
      </c>
      <c r="E24" s="5"/>
      <c r="F24" s="5"/>
      <c r="G24" s="5"/>
    </row>
    <row r="25" spans="1:7" x14ac:dyDescent="0.35">
      <c r="A25" s="5" t="s">
        <v>7</v>
      </c>
      <c r="B25" s="5" t="s">
        <v>14</v>
      </c>
      <c r="C25" s="5" t="s">
        <v>27</v>
      </c>
      <c r="D25" s="5" t="s">
        <v>29</v>
      </c>
      <c r="E25" s="5"/>
      <c r="F25" s="5"/>
      <c r="G25" s="5"/>
    </row>
  </sheetData>
  <autoFilter ref="A1:D25"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D13"/>
  <sheetViews>
    <sheetView workbookViewId="0">
      <selection activeCell="C13" sqref="C13"/>
    </sheetView>
  </sheetViews>
  <sheetFormatPr baseColWidth="10" defaultColWidth="8.7265625" defaultRowHeight="14.5" x14ac:dyDescent="0.35"/>
  <cols>
    <col min="1" max="4" width="16.7265625" customWidth="1"/>
  </cols>
  <sheetData>
    <row r="1" spans="1:4" x14ac:dyDescent="0.35">
      <c r="A1" s="1" t="s">
        <v>0</v>
      </c>
      <c r="B1" s="1" t="s">
        <v>30</v>
      </c>
      <c r="C1" s="1" t="s">
        <v>31</v>
      </c>
      <c r="D1" s="1" t="s">
        <v>32</v>
      </c>
    </row>
    <row r="2" spans="1:4" x14ac:dyDescent="0.35">
      <c r="A2" s="8" t="s">
        <v>5</v>
      </c>
      <c r="B2" s="8" t="s">
        <v>33</v>
      </c>
      <c r="C2" s="8"/>
      <c r="D2" s="8"/>
    </row>
    <row r="3" spans="1:4" x14ac:dyDescent="0.35">
      <c r="A3" s="8" t="s">
        <v>5</v>
      </c>
      <c r="B3" s="8" t="s">
        <v>34</v>
      </c>
      <c r="C3" s="8"/>
      <c r="D3" s="8"/>
    </row>
    <row r="4" spans="1:4" x14ac:dyDescent="0.35">
      <c r="A4" s="8" t="s">
        <v>5</v>
      </c>
      <c r="B4" s="8" t="s">
        <v>35</v>
      </c>
      <c r="C4" s="8"/>
      <c r="D4" s="8"/>
    </row>
    <row r="5" spans="1:4" x14ac:dyDescent="0.35">
      <c r="A5" s="8" t="s">
        <v>5</v>
      </c>
      <c r="B5" s="8" t="s">
        <v>36</v>
      </c>
      <c r="C5" s="8"/>
      <c r="D5" s="8"/>
    </row>
    <row r="6" spans="1:4" x14ac:dyDescent="0.35">
      <c r="A6" s="3" t="s">
        <v>6</v>
      </c>
      <c r="B6" s="3" t="s">
        <v>33</v>
      </c>
      <c r="C6" s="3" t="s">
        <v>46</v>
      </c>
      <c r="D6" s="3" t="s">
        <v>48</v>
      </c>
    </row>
    <row r="7" spans="1:4" x14ac:dyDescent="0.35">
      <c r="A7" s="3" t="s">
        <v>6</v>
      </c>
      <c r="B7" s="3" t="s">
        <v>34</v>
      </c>
      <c r="C7" s="3" t="s">
        <v>46</v>
      </c>
      <c r="D7" s="3"/>
    </row>
    <row r="8" spans="1:4" x14ac:dyDescent="0.35">
      <c r="A8" s="3" t="s">
        <v>6</v>
      </c>
      <c r="B8" s="3" t="s">
        <v>35</v>
      </c>
      <c r="C8" s="3" t="s">
        <v>46</v>
      </c>
      <c r="D8" s="3"/>
    </row>
    <row r="9" spans="1:4" x14ac:dyDescent="0.35">
      <c r="A9" s="3" t="s">
        <v>6</v>
      </c>
      <c r="B9" s="3" t="s">
        <v>36</v>
      </c>
      <c r="C9" s="3" t="s">
        <v>46</v>
      </c>
      <c r="D9" s="3" t="s">
        <v>47</v>
      </c>
    </row>
    <row r="10" spans="1:4" x14ac:dyDescent="0.35">
      <c r="A10" s="8" t="s">
        <v>7</v>
      </c>
      <c r="B10" s="8" t="s">
        <v>33</v>
      </c>
      <c r="C10" s="8"/>
      <c r="D10" s="8" t="s">
        <v>59</v>
      </c>
    </row>
    <row r="11" spans="1:4" x14ac:dyDescent="0.35">
      <c r="A11" s="8" t="s">
        <v>7</v>
      </c>
      <c r="B11" s="8" t="s">
        <v>34</v>
      </c>
      <c r="C11" s="8"/>
      <c r="D11" s="8" t="s">
        <v>60</v>
      </c>
    </row>
    <row r="12" spans="1:4" x14ac:dyDescent="0.35">
      <c r="A12" s="8" t="s">
        <v>7</v>
      </c>
      <c r="B12" s="8" t="s">
        <v>35</v>
      </c>
      <c r="C12" s="8" t="s">
        <v>46</v>
      </c>
      <c r="D12" s="8"/>
    </row>
    <row r="13" spans="1:4" x14ac:dyDescent="0.35">
      <c r="A13" s="8" t="s">
        <v>7</v>
      </c>
      <c r="B13" s="8" t="s">
        <v>36</v>
      </c>
      <c r="C13" s="8"/>
      <c r="D13" s="8" t="s">
        <v>61</v>
      </c>
    </row>
  </sheetData>
  <autoFilter ref="A1:C13"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Subject_Metadata</vt:lpstr>
      <vt:lpstr>Static_Results</vt:lpstr>
      <vt:lpstr>Dynamic_Results</vt:lpstr>
      <vt:lpstr>Complex_Results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Blanca Bru Querol</cp:lastModifiedBy>
  <dcterms:created xsi:type="dcterms:W3CDTF">2026-04-30T10:50:45Z</dcterms:created>
  <dcterms:modified xsi:type="dcterms:W3CDTF">2026-05-03T20:19:00Z</dcterms:modified>
</cp:coreProperties>
</file>