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LUMNO\Desktop\CEU\4\Proyectos\IMU_Visualization\Data_Analysis\"/>
    </mc:Choice>
  </mc:AlternateContent>
  <xr:revisionPtr revIDLastSave="0" documentId="13_ncr:1_{DDC02284-3EA1-49C5-A5C3-EE4DDC1BD998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ubject_Metadata" sheetId="1" r:id="rId1"/>
    <sheet name="Static_Results" sheetId="2" r:id="rId2"/>
    <sheet name="Dynamic_Results" sheetId="3" r:id="rId3"/>
  </sheets>
  <definedNames>
    <definedName name="_xlnm._FilterDatabase" localSheetId="2" hidden="1">Dynamic_Results!$A$1:$D$25</definedName>
    <definedName name="_xlnm._FilterDatabase" localSheetId="1" hidden="1">Static_Results!$A$1:$D$46</definedName>
    <definedName name="_xlnm._FilterDatabase" localSheetId="0" hidden="1">Subject_Metadata!$A$1:$C$1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2" l="1"/>
  <c r="F45" i="2"/>
  <c r="F37" i="2"/>
  <c r="F36" i="2"/>
  <c r="F34" i="2"/>
  <c r="F33" i="2"/>
  <c r="F43" i="2"/>
  <c r="F42" i="2"/>
  <c r="F40" i="2"/>
  <c r="F39" i="2"/>
  <c r="F31" i="2"/>
  <c r="F30" i="2"/>
  <c r="F22" i="2"/>
  <c r="F21" i="2"/>
  <c r="F19" i="2"/>
  <c r="F18" i="2"/>
  <c r="F28" i="2"/>
  <c r="F27" i="2"/>
  <c r="F25" i="2"/>
  <c r="F24" i="2"/>
  <c r="F26" i="2"/>
  <c r="F15" i="2"/>
  <c r="F16" i="2"/>
  <c r="F6" i="2"/>
  <c r="F7" i="2"/>
  <c r="F5" i="2"/>
  <c r="F13" i="2"/>
  <c r="F12" i="2"/>
  <c r="F10" i="2"/>
  <c r="F9" i="2"/>
  <c r="F3" i="2"/>
  <c r="F4" i="2"/>
</calcChain>
</file>

<file path=xl/sharedStrings.xml><?xml version="1.0" encoding="utf-8"?>
<sst xmlns="http://schemas.openxmlformats.org/spreadsheetml/2006/main" count="265" uniqueCount="39">
  <si>
    <t>Subject_ID</t>
  </si>
  <si>
    <t>Sex</t>
  </si>
  <si>
    <t>Height (cm)</t>
  </si>
  <si>
    <t>Arm Length (cm)</t>
  </si>
  <si>
    <t>Forearm Length (cm)</t>
  </si>
  <si>
    <t>Joint</t>
  </si>
  <si>
    <t>Movement</t>
  </si>
  <si>
    <t>Goniometer Angle (º)</t>
  </si>
  <si>
    <t>Unity Angle (º)</t>
  </si>
  <si>
    <t>Absolute Error (º)</t>
  </si>
  <si>
    <t>Shoulder</t>
  </si>
  <si>
    <t>Elbow</t>
  </si>
  <si>
    <t>Wrist</t>
  </si>
  <si>
    <t>Flexion</t>
  </si>
  <si>
    <t>Abduction</t>
  </si>
  <si>
    <t>Pronosupination</t>
  </si>
  <si>
    <t>Velocity</t>
  </si>
  <si>
    <t>RMSE (º)</t>
  </si>
  <si>
    <t>Peak Error (º)</t>
  </si>
  <si>
    <t>Correlation (r)</t>
  </si>
  <si>
    <t>Continuous Flexion</t>
  </si>
  <si>
    <t>Continuous Abduction</t>
  </si>
  <si>
    <t>Continuous Pronosupination</t>
  </si>
  <si>
    <t>Normal</t>
  </si>
  <si>
    <t>Fast</t>
  </si>
  <si>
    <t>Name</t>
  </si>
  <si>
    <t>Male</t>
  </si>
  <si>
    <t>S04</t>
  </si>
  <si>
    <t>S05</t>
  </si>
  <si>
    <t>S06</t>
  </si>
  <si>
    <t>S07</t>
  </si>
  <si>
    <t>S08</t>
  </si>
  <si>
    <t>S09</t>
  </si>
  <si>
    <t>Arturo Fierro</t>
  </si>
  <si>
    <t>Íñigo González</t>
  </si>
  <si>
    <t>Álvaro Sánchez</t>
  </si>
  <si>
    <t>min-60</t>
  </si>
  <si>
    <t>max 90</t>
  </si>
  <si>
    <t>real s04 de -50 a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</si>
</sst>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2" fillId="0" borderId="0" xfId="0" applyFont="1"/>
    <xf numFmtId="0" fontId="2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7"/>
  <sheetViews>
    <sheetView workbookViewId="0">
      <selection activeCell="B9" sqref="B9"/>
    </sheetView>
  </sheetViews>
  <sheetFormatPr baseColWidth="10" defaultColWidth="8.7265625" defaultRowHeight="14.5" x14ac:dyDescent="0.35"/>
  <cols>
    <col min="1" max="4" width="16.7265625" customWidth="1"/>
    <col min="5" max="5" width="17.7265625" customWidth="1"/>
    <col min="6" max="6" width="21.7265625" customWidth="1"/>
  </cols>
  <sheetData>
    <row r="1" spans="1:6" x14ac:dyDescent="0.35">
      <c r="A1" s="1" t="s">
        <v>0</v>
      </c>
      <c r="B1" s="1" t="s">
        <v>25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5">
      <c r="A2" s="3" t="s">
        <v>27</v>
      </c>
      <c r="B2" s="3" t="s">
        <v>34</v>
      </c>
      <c r="C2" s="3" t="s">
        <v>26</v>
      </c>
      <c r="D2" s="3"/>
      <c r="E2" s="3"/>
      <c r="F2" s="3"/>
    </row>
    <row r="3" spans="1:6" x14ac:dyDescent="0.35">
      <c r="A3" s="2" t="s">
        <v>28</v>
      </c>
      <c r="B3" s="3" t="s">
        <v>33</v>
      </c>
      <c r="C3" s="2" t="s">
        <v>26</v>
      </c>
      <c r="D3" s="2"/>
      <c r="E3" s="2">
        <v>35</v>
      </c>
      <c r="F3" s="2">
        <v>27</v>
      </c>
    </row>
    <row r="4" spans="1:6" x14ac:dyDescent="0.35">
      <c r="A4" s="3" t="s">
        <v>29</v>
      </c>
      <c r="B4" s="3" t="s">
        <v>35</v>
      </c>
      <c r="C4" s="3" t="s">
        <v>26</v>
      </c>
      <c r="D4" s="3">
        <v>182</v>
      </c>
      <c r="E4" s="3"/>
      <c r="F4" s="3"/>
    </row>
    <row r="5" spans="1:6" x14ac:dyDescent="0.35">
      <c r="A5" s="2" t="s">
        <v>30</v>
      </c>
      <c r="B5" s="2"/>
      <c r="C5" s="2"/>
      <c r="D5" s="2"/>
      <c r="E5" s="2"/>
      <c r="F5" s="2"/>
    </row>
    <row r="6" spans="1:6" x14ac:dyDescent="0.35">
      <c r="A6" s="3" t="s">
        <v>31</v>
      </c>
      <c r="B6" s="3"/>
      <c r="C6" s="3"/>
      <c r="D6" s="3"/>
      <c r="E6" s="3"/>
      <c r="F6" s="3"/>
    </row>
    <row r="7" spans="1:6" x14ac:dyDescent="0.35">
      <c r="A7" s="2" t="s">
        <v>32</v>
      </c>
      <c r="B7" s="2"/>
      <c r="C7" s="2"/>
      <c r="D7" s="2"/>
      <c r="E7" s="2"/>
      <c r="F7" s="2"/>
    </row>
  </sheetData>
  <autoFilter ref="A1:C1" xr:uid="{00000000-0009-0000-0000-000000000000}">
    <filterColumn colId="1" hiddenButton="1"/>
  </autoFilter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/>
  <dimension ref="A1:J46"/>
  <sheetViews>
    <sheetView tabSelected="1" topLeftCell="B1" zoomScale="115" zoomScaleNormal="115" workbookViewId="0">
      <selection activeCell="J12" sqref="J12"/>
    </sheetView>
  </sheetViews>
  <sheetFormatPr baseColWidth="10" defaultColWidth="8.7265625" defaultRowHeight="14.5" x14ac:dyDescent="0.35"/>
  <cols>
    <col min="1" max="3" width="16.7265625" customWidth="1"/>
    <col min="4" max="4" width="22.7265625" customWidth="1"/>
    <col min="5" max="5" width="17.7265625" customWidth="1"/>
    <col min="6" max="6" width="20.7265625" customWidth="1"/>
  </cols>
  <sheetData>
    <row r="1" spans="1:10" x14ac:dyDescent="0.35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10" hidden="1" x14ac:dyDescent="0.35">
      <c r="A2" s="4" t="s">
        <v>27</v>
      </c>
      <c r="B2" s="4" t="s">
        <v>10</v>
      </c>
      <c r="C2" s="4" t="s">
        <v>13</v>
      </c>
      <c r="D2" s="4">
        <v>0</v>
      </c>
      <c r="E2" s="4">
        <v>0.9</v>
      </c>
      <c r="F2" s="4"/>
    </row>
    <row r="3" spans="1:10" hidden="1" x14ac:dyDescent="0.35">
      <c r="A3" s="4" t="s">
        <v>27</v>
      </c>
      <c r="B3" s="4" t="s">
        <v>10</v>
      </c>
      <c r="C3" s="4" t="s">
        <v>13</v>
      </c>
      <c r="D3" s="4">
        <v>90</v>
      </c>
      <c r="E3" s="4">
        <v>75.900000000000006</v>
      </c>
      <c r="F3" s="4">
        <f t="shared" ref="F3" si="0">ABS(E3-D3)</f>
        <v>14.099999999999994</v>
      </c>
    </row>
    <row r="4" spans="1:10" hidden="1" x14ac:dyDescent="0.35">
      <c r="A4" s="4" t="s">
        <v>27</v>
      </c>
      <c r="B4" s="4" t="s">
        <v>10</v>
      </c>
      <c r="C4" s="4" t="s">
        <v>13</v>
      </c>
      <c r="D4" s="4">
        <v>150</v>
      </c>
      <c r="E4" s="4">
        <v>150.4</v>
      </c>
      <c r="F4" s="4">
        <f t="shared" ref="F4:F26" si="1">ABS(E4-D4)</f>
        <v>0.40000000000000568</v>
      </c>
    </row>
    <row r="5" spans="1:10" hidden="1" x14ac:dyDescent="0.35">
      <c r="A5" s="4" t="s">
        <v>27</v>
      </c>
      <c r="B5" s="4" t="s">
        <v>10</v>
      </c>
      <c r="C5" s="4" t="s">
        <v>14</v>
      </c>
      <c r="D5" s="4">
        <v>0</v>
      </c>
      <c r="E5" s="4">
        <v>0.5</v>
      </c>
      <c r="F5" s="4">
        <f t="shared" si="1"/>
        <v>0.5</v>
      </c>
    </row>
    <row r="6" spans="1:10" hidden="1" x14ac:dyDescent="0.35">
      <c r="A6" s="4" t="s">
        <v>27</v>
      </c>
      <c r="B6" s="4" t="s">
        <v>10</v>
      </c>
      <c r="C6" s="4" t="s">
        <v>14</v>
      </c>
      <c r="D6" s="4">
        <v>45</v>
      </c>
      <c r="E6" s="4">
        <v>44.4</v>
      </c>
      <c r="F6" s="4">
        <f>ABS(E6-E5-D6)</f>
        <v>1.1000000000000014</v>
      </c>
    </row>
    <row r="7" spans="1:10" hidden="1" x14ac:dyDescent="0.35">
      <c r="A7" s="4" t="s">
        <v>27</v>
      </c>
      <c r="B7" s="4" t="s">
        <v>10</v>
      </c>
      <c r="C7" s="4" t="s">
        <v>14</v>
      </c>
      <c r="D7" s="4">
        <v>90</v>
      </c>
      <c r="E7" s="4">
        <v>74.099999999999994</v>
      </c>
      <c r="F7" s="4">
        <f>ABS(E7-E5-D7)</f>
        <v>16.400000000000006</v>
      </c>
    </row>
    <row r="8" spans="1:10" hidden="1" x14ac:dyDescent="0.35">
      <c r="A8" s="5" t="s">
        <v>27</v>
      </c>
      <c r="B8" s="5" t="s">
        <v>11</v>
      </c>
      <c r="C8" s="5" t="s">
        <v>13</v>
      </c>
      <c r="D8" s="5">
        <v>0</v>
      </c>
      <c r="E8" s="5">
        <v>0.5</v>
      </c>
      <c r="F8" s="5"/>
    </row>
    <row r="9" spans="1:10" hidden="1" x14ac:dyDescent="0.35">
      <c r="A9" s="5" t="s">
        <v>27</v>
      </c>
      <c r="B9" s="5" t="s">
        <v>11</v>
      </c>
      <c r="C9" s="5" t="s">
        <v>13</v>
      </c>
      <c r="D9" s="5">
        <v>90</v>
      </c>
      <c r="E9" s="5">
        <v>72.900000000000006</v>
      </c>
      <c r="F9" s="5">
        <f>ABS(E9-E8-D9)</f>
        <v>17.599999999999994</v>
      </c>
    </row>
    <row r="10" spans="1:10" hidden="1" x14ac:dyDescent="0.35">
      <c r="A10" s="5" t="s">
        <v>27</v>
      </c>
      <c r="B10" s="5" t="s">
        <v>11</v>
      </c>
      <c r="C10" s="5" t="s">
        <v>13</v>
      </c>
      <c r="D10" s="5">
        <v>133</v>
      </c>
      <c r="E10" s="5">
        <v>122.6</v>
      </c>
      <c r="F10" s="5">
        <f>ABS(E10-E8-D10)</f>
        <v>10.900000000000006</v>
      </c>
    </row>
    <row r="11" spans="1:10" x14ac:dyDescent="0.35">
      <c r="A11" s="5" t="s">
        <v>27</v>
      </c>
      <c r="B11" s="5" t="s">
        <v>11</v>
      </c>
      <c r="C11" s="5" t="s">
        <v>15</v>
      </c>
      <c r="D11" s="5">
        <v>0</v>
      </c>
      <c r="E11" s="5">
        <v>35.799999999999997</v>
      </c>
      <c r="F11" s="5"/>
    </row>
    <row r="12" spans="1:10" x14ac:dyDescent="0.35">
      <c r="A12" s="5" t="s">
        <v>27</v>
      </c>
      <c r="B12" s="5" t="s">
        <v>11</v>
      </c>
      <c r="C12" s="5" t="s">
        <v>15</v>
      </c>
      <c r="D12" s="5">
        <v>85</v>
      </c>
      <c r="E12" s="5">
        <v>96</v>
      </c>
      <c r="F12" s="5">
        <f>ABS(D12-(E12-E11))</f>
        <v>24.799999999999997</v>
      </c>
      <c r="H12" t="s">
        <v>36</v>
      </c>
      <c r="J12" t="s">
        <v>38</v>
      </c>
    </row>
    <row r="13" spans="1:10" x14ac:dyDescent="0.35">
      <c r="A13" s="5" t="s">
        <v>27</v>
      </c>
      <c r="B13" s="5" t="s">
        <v>11</v>
      </c>
      <c r="C13" s="5" t="s">
        <v>15</v>
      </c>
      <c r="D13" s="5">
        <v>-85</v>
      </c>
      <c r="E13" s="5">
        <v>-53</v>
      </c>
      <c r="F13" s="5">
        <f>ABS(D13-(E13-E11))</f>
        <v>3.7999999999999972</v>
      </c>
      <c r="H13" t="s">
        <v>37</v>
      </c>
    </row>
    <row r="14" spans="1:10" hidden="1" x14ac:dyDescent="0.35">
      <c r="A14" s="6" t="s">
        <v>27</v>
      </c>
      <c r="B14" s="6" t="s">
        <v>12</v>
      </c>
      <c r="C14" s="6" t="s">
        <v>13</v>
      </c>
      <c r="D14" s="6">
        <v>0</v>
      </c>
      <c r="E14" s="6">
        <v>-9.9</v>
      </c>
      <c r="F14" s="6"/>
    </row>
    <row r="15" spans="1:10" hidden="1" x14ac:dyDescent="0.35">
      <c r="A15" s="6" t="s">
        <v>27</v>
      </c>
      <c r="B15" s="6" t="s">
        <v>12</v>
      </c>
      <c r="C15" s="6" t="s">
        <v>13</v>
      </c>
      <c r="D15" s="6">
        <v>70</v>
      </c>
      <c r="E15" s="6">
        <v>60.7</v>
      </c>
      <c r="F15" s="6">
        <f>ABS(E15-E14-D15)</f>
        <v>0.60000000000000853</v>
      </c>
    </row>
    <row r="16" spans="1:10" hidden="1" x14ac:dyDescent="0.35">
      <c r="A16" s="6" t="s">
        <v>27</v>
      </c>
      <c r="B16" s="6" t="s">
        <v>12</v>
      </c>
      <c r="C16" s="6" t="s">
        <v>13</v>
      </c>
      <c r="D16" s="6">
        <v>-70</v>
      </c>
      <c r="E16" s="6">
        <v>-68.5</v>
      </c>
      <c r="F16" s="6">
        <f>ABS(E16-E14-D16)</f>
        <v>11.399999999999999</v>
      </c>
    </row>
    <row r="17" spans="1:6" hidden="1" x14ac:dyDescent="0.35">
      <c r="A17" s="4" t="s">
        <v>28</v>
      </c>
      <c r="B17" s="4" t="s">
        <v>10</v>
      </c>
      <c r="C17" s="4" t="s">
        <v>13</v>
      </c>
      <c r="D17" s="4">
        <v>0</v>
      </c>
      <c r="E17" s="4">
        <v>0.3</v>
      </c>
      <c r="F17" s="4"/>
    </row>
    <row r="18" spans="1:6" hidden="1" x14ac:dyDescent="0.35">
      <c r="A18" s="4" t="s">
        <v>28</v>
      </c>
      <c r="B18" s="4" t="s">
        <v>10</v>
      </c>
      <c r="C18" s="4" t="s">
        <v>13</v>
      </c>
      <c r="D18" s="4">
        <v>90</v>
      </c>
      <c r="E18" s="4">
        <v>80.5</v>
      </c>
      <c r="F18" s="4">
        <f>ABS(E18-E17-D18)</f>
        <v>9.7999999999999972</v>
      </c>
    </row>
    <row r="19" spans="1:6" hidden="1" x14ac:dyDescent="0.35">
      <c r="A19" s="4" t="s">
        <v>28</v>
      </c>
      <c r="B19" s="4" t="s">
        <v>10</v>
      </c>
      <c r="C19" s="4" t="s">
        <v>13</v>
      </c>
      <c r="D19" s="4">
        <v>140</v>
      </c>
      <c r="E19" s="4">
        <v>129.30000000000001</v>
      </c>
      <c r="F19" s="4">
        <f>ABS(E19-E17-D19)</f>
        <v>11</v>
      </c>
    </row>
    <row r="20" spans="1:6" hidden="1" x14ac:dyDescent="0.35">
      <c r="A20" s="4" t="s">
        <v>28</v>
      </c>
      <c r="B20" s="4" t="s">
        <v>10</v>
      </c>
      <c r="C20" s="4" t="s">
        <v>14</v>
      </c>
      <c r="D20" s="4">
        <v>0</v>
      </c>
      <c r="E20" s="4">
        <v>1.5</v>
      </c>
      <c r="F20" s="4"/>
    </row>
    <row r="21" spans="1:6" hidden="1" x14ac:dyDescent="0.35">
      <c r="A21" s="4" t="s">
        <v>28</v>
      </c>
      <c r="B21" s="4" t="s">
        <v>10</v>
      </c>
      <c r="C21" s="4" t="s">
        <v>14</v>
      </c>
      <c r="D21" s="4">
        <v>45</v>
      </c>
      <c r="E21" s="4">
        <v>50.8</v>
      </c>
      <c r="F21" s="4">
        <f>ABS(E21-E20-D21)</f>
        <v>4.2999999999999972</v>
      </c>
    </row>
    <row r="22" spans="1:6" hidden="1" x14ac:dyDescent="0.35">
      <c r="A22" s="4" t="s">
        <v>28</v>
      </c>
      <c r="B22" s="4" t="s">
        <v>10</v>
      </c>
      <c r="C22" s="4" t="s">
        <v>14</v>
      </c>
      <c r="D22" s="4">
        <v>90</v>
      </c>
      <c r="E22" s="4">
        <v>79.900000000000006</v>
      </c>
      <c r="F22" s="4">
        <f>ABS(E22-E20-D22)</f>
        <v>11.599999999999994</v>
      </c>
    </row>
    <row r="23" spans="1:6" hidden="1" x14ac:dyDescent="0.35">
      <c r="A23" s="5" t="s">
        <v>28</v>
      </c>
      <c r="B23" s="5" t="s">
        <v>11</v>
      </c>
      <c r="C23" s="5" t="s">
        <v>13</v>
      </c>
      <c r="D23" s="5">
        <v>0</v>
      </c>
      <c r="E23" s="5">
        <v>1.3</v>
      </c>
      <c r="F23" s="5"/>
    </row>
    <row r="24" spans="1:6" hidden="1" x14ac:dyDescent="0.35">
      <c r="A24" s="5" t="s">
        <v>28</v>
      </c>
      <c r="B24" s="5" t="s">
        <v>11</v>
      </c>
      <c r="C24" s="5" t="s">
        <v>13</v>
      </c>
      <c r="D24" s="5">
        <v>90</v>
      </c>
      <c r="E24" s="5">
        <v>76.7</v>
      </c>
      <c r="F24" s="5">
        <f>ABS(E24-E23-D24)</f>
        <v>14.599999999999994</v>
      </c>
    </row>
    <row r="25" spans="1:6" hidden="1" x14ac:dyDescent="0.35">
      <c r="A25" s="5" t="s">
        <v>28</v>
      </c>
      <c r="B25" s="5" t="s">
        <v>11</v>
      </c>
      <c r="C25" s="5" t="s">
        <v>13</v>
      </c>
      <c r="D25" s="5">
        <v>135</v>
      </c>
      <c r="E25" s="5">
        <v>104.9</v>
      </c>
      <c r="F25" s="5">
        <f>ABS(E25-E23-D25)</f>
        <v>31.399999999999991</v>
      </c>
    </row>
    <row r="26" spans="1:6" x14ac:dyDescent="0.35">
      <c r="A26" s="5" t="s">
        <v>28</v>
      </c>
      <c r="B26" s="5" t="s">
        <v>11</v>
      </c>
      <c r="C26" s="5" t="s">
        <v>15</v>
      </c>
      <c r="D26" s="5">
        <v>0</v>
      </c>
      <c r="E26" s="5">
        <v>7.9</v>
      </c>
      <c r="F26" s="5">
        <f t="shared" si="1"/>
        <v>7.9</v>
      </c>
    </row>
    <row r="27" spans="1:6" x14ac:dyDescent="0.35">
      <c r="A27" s="5" t="s">
        <v>28</v>
      </c>
      <c r="B27" s="5" t="s">
        <v>11</v>
      </c>
      <c r="C27" s="5" t="s">
        <v>15</v>
      </c>
      <c r="D27" s="5">
        <v>85</v>
      </c>
      <c r="E27" s="5">
        <v>89.7</v>
      </c>
      <c r="F27" s="5">
        <f>ABS(E27-E26-D27)</f>
        <v>3.2000000000000028</v>
      </c>
    </row>
    <row r="28" spans="1:6" x14ac:dyDescent="0.35">
      <c r="A28" s="5" t="s">
        <v>28</v>
      </c>
      <c r="B28" s="5" t="s">
        <v>11</v>
      </c>
      <c r="C28" s="5" t="s">
        <v>15</v>
      </c>
      <c r="D28" s="5">
        <v>-85</v>
      </c>
      <c r="E28" s="5">
        <v>-64.400000000000006</v>
      </c>
      <c r="F28" s="5">
        <f>ABS(E28-E26-D28)</f>
        <v>12.699999999999989</v>
      </c>
    </row>
    <row r="29" spans="1:6" hidden="1" x14ac:dyDescent="0.35">
      <c r="A29" s="6" t="s">
        <v>28</v>
      </c>
      <c r="B29" s="6" t="s">
        <v>12</v>
      </c>
      <c r="C29" s="6" t="s">
        <v>13</v>
      </c>
      <c r="D29" s="6">
        <v>0</v>
      </c>
      <c r="E29" s="6">
        <v>-4.7</v>
      </c>
      <c r="F29" s="6"/>
    </row>
    <row r="30" spans="1:6" hidden="1" x14ac:dyDescent="0.35">
      <c r="A30" s="6" t="s">
        <v>28</v>
      </c>
      <c r="B30" s="6" t="s">
        <v>12</v>
      </c>
      <c r="C30" s="6" t="s">
        <v>13</v>
      </c>
      <c r="D30" s="6">
        <v>70</v>
      </c>
      <c r="E30" s="6">
        <v>56.9</v>
      </c>
      <c r="F30" s="6">
        <f>ABS(E30-E29-D30)</f>
        <v>8.3999999999999986</v>
      </c>
    </row>
    <row r="31" spans="1:6" hidden="1" x14ac:dyDescent="0.35">
      <c r="A31" s="6" t="s">
        <v>28</v>
      </c>
      <c r="B31" s="6" t="s">
        <v>12</v>
      </c>
      <c r="C31" s="6" t="s">
        <v>13</v>
      </c>
      <c r="D31" s="6">
        <v>-70</v>
      </c>
      <c r="E31" s="6">
        <v>-74.900000000000006</v>
      </c>
      <c r="F31" s="6">
        <f>ABS(E31-E29-D31)</f>
        <v>0.20000000000000284</v>
      </c>
    </row>
    <row r="32" spans="1:6" hidden="1" x14ac:dyDescent="0.35">
      <c r="A32" s="4" t="s">
        <v>29</v>
      </c>
      <c r="B32" s="4" t="s">
        <v>10</v>
      </c>
      <c r="C32" s="4" t="s">
        <v>13</v>
      </c>
      <c r="D32" s="4">
        <v>0</v>
      </c>
      <c r="E32" s="4">
        <v>0.2</v>
      </c>
      <c r="F32" s="4"/>
    </row>
    <row r="33" spans="1:6" hidden="1" x14ac:dyDescent="0.35">
      <c r="A33" s="4" t="s">
        <v>29</v>
      </c>
      <c r="B33" s="4" t="s">
        <v>10</v>
      </c>
      <c r="C33" s="4" t="s">
        <v>13</v>
      </c>
      <c r="D33" s="4">
        <v>90</v>
      </c>
      <c r="E33" s="4">
        <v>88.8</v>
      </c>
      <c r="F33" s="4">
        <f>ABS(E33-E32-D33)</f>
        <v>1.4000000000000057</v>
      </c>
    </row>
    <row r="34" spans="1:6" hidden="1" x14ac:dyDescent="0.35">
      <c r="A34" s="4" t="s">
        <v>29</v>
      </c>
      <c r="B34" s="4" t="s">
        <v>10</v>
      </c>
      <c r="C34" s="4" t="s">
        <v>13</v>
      </c>
      <c r="D34" s="4">
        <v>150</v>
      </c>
      <c r="E34" s="4">
        <v>167.1</v>
      </c>
      <c r="F34" s="4">
        <f>ABS(E34-E32-D34)</f>
        <v>16.900000000000006</v>
      </c>
    </row>
    <row r="35" spans="1:6" hidden="1" x14ac:dyDescent="0.35">
      <c r="A35" s="4" t="s">
        <v>29</v>
      </c>
      <c r="B35" s="4" t="s">
        <v>10</v>
      </c>
      <c r="C35" s="4" t="s">
        <v>14</v>
      </c>
      <c r="D35" s="4">
        <v>0</v>
      </c>
      <c r="E35" s="4">
        <v>0.2</v>
      </c>
      <c r="F35" s="4"/>
    </row>
    <row r="36" spans="1:6" hidden="1" x14ac:dyDescent="0.35">
      <c r="A36" s="4" t="s">
        <v>29</v>
      </c>
      <c r="B36" s="4" t="s">
        <v>10</v>
      </c>
      <c r="C36" s="4" t="s">
        <v>14</v>
      </c>
      <c r="D36" s="4">
        <v>45</v>
      </c>
      <c r="E36" s="4">
        <v>40.6</v>
      </c>
      <c r="F36" s="4">
        <f>ABS(E36-E35-D36)</f>
        <v>4.6000000000000014</v>
      </c>
    </row>
    <row r="37" spans="1:6" hidden="1" x14ac:dyDescent="0.35">
      <c r="A37" s="4" t="s">
        <v>29</v>
      </c>
      <c r="B37" s="4" t="s">
        <v>10</v>
      </c>
      <c r="C37" s="4" t="s">
        <v>14</v>
      </c>
      <c r="D37" s="4">
        <v>90</v>
      </c>
      <c r="E37" s="4">
        <v>79.3</v>
      </c>
      <c r="F37" s="4">
        <f>ABS(E37-E35-D37)</f>
        <v>10.900000000000006</v>
      </c>
    </row>
    <row r="38" spans="1:6" hidden="1" x14ac:dyDescent="0.35">
      <c r="A38" s="5" t="s">
        <v>29</v>
      </c>
      <c r="B38" s="5" t="s">
        <v>11</v>
      </c>
      <c r="C38" s="5" t="s">
        <v>13</v>
      </c>
      <c r="D38" s="5">
        <v>0</v>
      </c>
      <c r="E38" s="5">
        <v>1.8</v>
      </c>
      <c r="F38" s="5"/>
    </row>
    <row r="39" spans="1:6" hidden="1" x14ac:dyDescent="0.35">
      <c r="A39" s="5" t="s">
        <v>29</v>
      </c>
      <c r="B39" s="5" t="s">
        <v>11</v>
      </c>
      <c r="C39" s="5" t="s">
        <v>13</v>
      </c>
      <c r="D39" s="5">
        <v>90</v>
      </c>
      <c r="E39" s="5">
        <v>81.400000000000006</v>
      </c>
      <c r="F39" s="5">
        <f>ABS(E39-E38-D39)</f>
        <v>10.399999999999991</v>
      </c>
    </row>
    <row r="40" spans="1:6" hidden="1" x14ac:dyDescent="0.35">
      <c r="A40" s="5" t="s">
        <v>29</v>
      </c>
      <c r="B40" s="5" t="s">
        <v>11</v>
      </c>
      <c r="C40" s="5" t="s">
        <v>13</v>
      </c>
      <c r="D40" s="5">
        <v>135</v>
      </c>
      <c r="E40" s="5">
        <v>126.6</v>
      </c>
      <c r="F40" s="5">
        <f>ABS(E40-E38-D40)</f>
        <v>10.200000000000003</v>
      </c>
    </row>
    <row r="41" spans="1:6" x14ac:dyDescent="0.35">
      <c r="A41" s="5" t="s">
        <v>29</v>
      </c>
      <c r="B41" s="5" t="s">
        <v>11</v>
      </c>
      <c r="C41" s="5" t="s">
        <v>15</v>
      </c>
      <c r="D41" s="5">
        <v>0</v>
      </c>
      <c r="E41" s="5">
        <v>15.9</v>
      </c>
      <c r="F41" s="5"/>
    </row>
    <row r="42" spans="1:6" x14ac:dyDescent="0.35">
      <c r="A42" s="5" t="s">
        <v>29</v>
      </c>
      <c r="B42" s="5" t="s">
        <v>11</v>
      </c>
      <c r="C42" s="5" t="s">
        <v>15</v>
      </c>
      <c r="D42" s="5">
        <v>85</v>
      </c>
      <c r="E42" s="5">
        <v>83.9</v>
      </c>
      <c r="F42" s="5">
        <f>ABS(E42-E41-D42)</f>
        <v>17</v>
      </c>
    </row>
    <row r="43" spans="1:6" x14ac:dyDescent="0.35">
      <c r="A43" s="5" t="s">
        <v>29</v>
      </c>
      <c r="B43" s="5" t="s">
        <v>11</v>
      </c>
      <c r="C43" s="5" t="s">
        <v>15</v>
      </c>
      <c r="D43" s="5">
        <v>-85</v>
      </c>
      <c r="E43" s="5">
        <v>-71.099999999999994</v>
      </c>
      <c r="F43" s="5">
        <f>ABS(E43-E41-D43)</f>
        <v>2</v>
      </c>
    </row>
    <row r="44" spans="1:6" hidden="1" x14ac:dyDescent="0.35">
      <c r="A44" s="6" t="s">
        <v>29</v>
      </c>
      <c r="B44" s="6" t="s">
        <v>12</v>
      </c>
      <c r="C44" s="6" t="s">
        <v>13</v>
      </c>
      <c r="D44" s="6">
        <v>0</v>
      </c>
      <c r="E44" s="6">
        <v>-16.7</v>
      </c>
      <c r="F44" s="6"/>
    </row>
    <row r="45" spans="1:6" hidden="1" x14ac:dyDescent="0.35">
      <c r="A45" s="6" t="s">
        <v>29</v>
      </c>
      <c r="B45" s="6" t="s">
        <v>12</v>
      </c>
      <c r="C45" s="6" t="s">
        <v>13</v>
      </c>
      <c r="D45" s="6">
        <v>70</v>
      </c>
      <c r="E45" s="6">
        <v>45.9</v>
      </c>
      <c r="F45" s="6">
        <f>ABS(E45-E44-D45)</f>
        <v>7.4000000000000057</v>
      </c>
    </row>
    <row r="46" spans="1:6" hidden="1" x14ac:dyDescent="0.35">
      <c r="A46" s="6" t="s">
        <v>29</v>
      </c>
      <c r="B46" s="6" t="s">
        <v>12</v>
      </c>
      <c r="C46" s="6" t="s">
        <v>13</v>
      </c>
      <c r="D46" s="6">
        <v>-50</v>
      </c>
      <c r="E46" s="6">
        <v>-47.1</v>
      </c>
      <c r="F46" s="6">
        <f>ABS(E46-E44-D46)</f>
        <v>19.599999999999998</v>
      </c>
    </row>
  </sheetData>
  <autoFilter ref="A1:D46" xr:uid="{00000000-0009-0000-0000-000001000000}">
    <filterColumn colId="1">
      <filters>
        <filter val="Elbow"/>
      </filters>
    </filterColumn>
    <filterColumn colId="2">
      <filters>
        <filter val="Pronosupination"/>
      </filters>
    </filterColumn>
    <filterColumn colId="3" hiddenButton="1"/>
  </autoFilter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I25"/>
  <sheetViews>
    <sheetView zoomScale="115" zoomScaleNormal="115" workbookViewId="0">
      <selection activeCell="E2" sqref="E2"/>
    </sheetView>
  </sheetViews>
  <sheetFormatPr baseColWidth="10" defaultColWidth="8.7265625" defaultRowHeight="14.5" x14ac:dyDescent="0.35"/>
  <cols>
    <col min="1" max="2" width="16.7265625" customWidth="1"/>
    <col min="3" max="3" width="24.81640625" bestFit="1" customWidth="1"/>
    <col min="4" max="6" width="16.7265625" customWidth="1"/>
    <col min="7" max="7" width="17.7265625" customWidth="1"/>
  </cols>
  <sheetData>
    <row r="1" spans="1:9" x14ac:dyDescent="0.35">
      <c r="A1" s="1" t="s">
        <v>0</v>
      </c>
      <c r="B1" s="1" t="s">
        <v>5</v>
      </c>
      <c r="C1" s="1" t="s">
        <v>6</v>
      </c>
      <c r="D1" s="1" t="s">
        <v>16</v>
      </c>
      <c r="E1" s="1" t="s">
        <v>17</v>
      </c>
      <c r="F1" s="1" t="s">
        <v>18</v>
      </c>
      <c r="G1" s="1" t="s">
        <v>19</v>
      </c>
    </row>
    <row r="2" spans="1:9" x14ac:dyDescent="0.35">
      <c r="A2" s="4" t="s">
        <v>27</v>
      </c>
      <c r="B2" s="4" t="s">
        <v>10</v>
      </c>
      <c r="C2" s="4" t="s">
        <v>20</v>
      </c>
      <c r="D2" s="4" t="s">
        <v>23</v>
      </c>
      <c r="E2" s="4"/>
      <c r="F2" s="4"/>
      <c r="G2" s="4"/>
    </row>
    <row r="3" spans="1:9" x14ac:dyDescent="0.35">
      <c r="A3" s="4" t="s">
        <v>27</v>
      </c>
      <c r="B3" s="4" t="s">
        <v>10</v>
      </c>
      <c r="C3" s="4" t="s">
        <v>20</v>
      </c>
      <c r="D3" s="4" t="s">
        <v>24</v>
      </c>
      <c r="E3" s="4"/>
      <c r="F3" s="4"/>
      <c r="G3" s="4"/>
    </row>
    <row r="4" spans="1:9" x14ac:dyDescent="0.35">
      <c r="A4" s="4" t="s">
        <v>27</v>
      </c>
      <c r="B4" s="4" t="s">
        <v>10</v>
      </c>
      <c r="C4" s="4" t="s">
        <v>21</v>
      </c>
      <c r="D4" s="4" t="s">
        <v>23</v>
      </c>
      <c r="E4" s="4"/>
      <c r="F4" s="4"/>
      <c r="G4" s="4"/>
    </row>
    <row r="5" spans="1:9" x14ac:dyDescent="0.35">
      <c r="A5" s="4" t="s">
        <v>27</v>
      </c>
      <c r="B5" s="4" t="s">
        <v>10</v>
      </c>
      <c r="C5" s="4" t="s">
        <v>21</v>
      </c>
      <c r="D5" s="4" t="s">
        <v>24</v>
      </c>
      <c r="E5" s="4"/>
      <c r="F5" s="4"/>
      <c r="G5" s="4"/>
    </row>
    <row r="6" spans="1:9" x14ac:dyDescent="0.35">
      <c r="A6" s="5" t="s">
        <v>27</v>
      </c>
      <c r="B6" s="5" t="s">
        <v>11</v>
      </c>
      <c r="C6" s="5" t="s">
        <v>20</v>
      </c>
      <c r="D6" s="5" t="s">
        <v>23</v>
      </c>
      <c r="E6" s="5"/>
      <c r="F6" s="5"/>
      <c r="G6" s="5"/>
    </row>
    <row r="7" spans="1:9" x14ac:dyDescent="0.35">
      <c r="A7" s="5" t="s">
        <v>27</v>
      </c>
      <c r="B7" s="5" t="s">
        <v>11</v>
      </c>
      <c r="C7" s="5" t="s">
        <v>20</v>
      </c>
      <c r="D7" s="5" t="s">
        <v>24</v>
      </c>
      <c r="E7" s="5"/>
      <c r="F7" s="5"/>
      <c r="G7" s="5"/>
    </row>
    <row r="8" spans="1:9" x14ac:dyDescent="0.35">
      <c r="A8" s="5" t="s">
        <v>27</v>
      </c>
      <c r="B8" s="5" t="s">
        <v>11</v>
      </c>
      <c r="C8" s="5" t="s">
        <v>22</v>
      </c>
      <c r="D8" s="5" t="s">
        <v>23</v>
      </c>
      <c r="E8" s="5"/>
      <c r="F8" s="5"/>
      <c r="G8" s="8"/>
    </row>
    <row r="9" spans="1:9" x14ac:dyDescent="0.35">
      <c r="A9" s="5" t="s">
        <v>27</v>
      </c>
      <c r="B9" s="5" t="s">
        <v>11</v>
      </c>
      <c r="C9" s="5" t="s">
        <v>22</v>
      </c>
      <c r="D9" s="5" t="s">
        <v>24</v>
      </c>
      <c r="E9" s="5"/>
      <c r="F9" s="5"/>
      <c r="G9" s="5"/>
      <c r="I9" s="7"/>
    </row>
    <row r="10" spans="1:9" x14ac:dyDescent="0.35">
      <c r="A10" s="4" t="s">
        <v>28</v>
      </c>
      <c r="B10" s="4" t="s">
        <v>10</v>
      </c>
      <c r="C10" s="4" t="s">
        <v>20</v>
      </c>
      <c r="D10" s="4" t="s">
        <v>23</v>
      </c>
      <c r="E10" s="4"/>
      <c r="F10" s="4"/>
      <c r="G10" s="4"/>
    </row>
    <row r="11" spans="1:9" x14ac:dyDescent="0.35">
      <c r="A11" s="4" t="s">
        <v>28</v>
      </c>
      <c r="B11" s="4" t="s">
        <v>10</v>
      </c>
      <c r="C11" s="4" t="s">
        <v>20</v>
      </c>
      <c r="D11" s="4" t="s">
        <v>24</v>
      </c>
      <c r="E11" s="4"/>
      <c r="F11" s="4"/>
      <c r="G11" s="4"/>
    </row>
    <row r="12" spans="1:9" x14ac:dyDescent="0.35">
      <c r="A12" s="4" t="s">
        <v>28</v>
      </c>
      <c r="B12" s="4" t="s">
        <v>10</v>
      </c>
      <c r="C12" s="4" t="s">
        <v>21</v>
      </c>
      <c r="D12" s="4" t="s">
        <v>23</v>
      </c>
      <c r="E12" s="4"/>
      <c r="F12" s="4"/>
      <c r="G12" s="4"/>
    </row>
    <row r="13" spans="1:9" x14ac:dyDescent="0.35">
      <c r="A13" s="4" t="s">
        <v>28</v>
      </c>
      <c r="B13" s="4" t="s">
        <v>10</v>
      </c>
      <c r="C13" s="4" t="s">
        <v>21</v>
      </c>
      <c r="D13" s="4" t="s">
        <v>24</v>
      </c>
      <c r="E13" s="4"/>
      <c r="F13" s="4"/>
      <c r="G13" s="4"/>
    </row>
    <row r="14" spans="1:9" x14ac:dyDescent="0.35">
      <c r="A14" s="5" t="s">
        <v>28</v>
      </c>
      <c r="B14" s="5" t="s">
        <v>11</v>
      </c>
      <c r="C14" s="5" t="s">
        <v>20</v>
      </c>
      <c r="D14" s="5" t="s">
        <v>23</v>
      </c>
      <c r="E14" s="5"/>
      <c r="F14" s="5"/>
      <c r="G14" s="5"/>
    </row>
    <row r="15" spans="1:9" x14ac:dyDescent="0.35">
      <c r="A15" s="5" t="s">
        <v>28</v>
      </c>
      <c r="B15" s="5" t="s">
        <v>11</v>
      </c>
      <c r="C15" s="5" t="s">
        <v>20</v>
      </c>
      <c r="D15" s="5" t="s">
        <v>24</v>
      </c>
      <c r="E15" s="5"/>
      <c r="F15" s="5"/>
      <c r="G15" s="5"/>
    </row>
    <row r="16" spans="1:9" x14ac:dyDescent="0.35">
      <c r="A16" s="5" t="s">
        <v>28</v>
      </c>
      <c r="B16" s="5" t="s">
        <v>11</v>
      </c>
      <c r="C16" s="5" t="s">
        <v>22</v>
      </c>
      <c r="D16" s="5" t="s">
        <v>23</v>
      </c>
      <c r="E16" s="5"/>
      <c r="F16" s="5"/>
      <c r="G16" s="8"/>
    </row>
    <row r="17" spans="1:7" x14ac:dyDescent="0.35">
      <c r="A17" s="5" t="s">
        <v>28</v>
      </c>
      <c r="B17" s="5" t="s">
        <v>11</v>
      </c>
      <c r="C17" s="5" t="s">
        <v>22</v>
      </c>
      <c r="D17" s="5" t="s">
        <v>24</v>
      </c>
      <c r="E17" s="5"/>
      <c r="F17" s="5"/>
      <c r="G17" s="5"/>
    </row>
    <row r="18" spans="1:7" x14ac:dyDescent="0.35">
      <c r="A18" s="4" t="s">
        <v>29</v>
      </c>
      <c r="B18" s="4" t="s">
        <v>10</v>
      </c>
      <c r="C18" s="4" t="s">
        <v>20</v>
      </c>
      <c r="D18" s="4" t="s">
        <v>23</v>
      </c>
      <c r="E18" s="4"/>
      <c r="F18" s="4"/>
      <c r="G18" s="4"/>
    </row>
    <row r="19" spans="1:7" x14ac:dyDescent="0.35">
      <c r="A19" s="4" t="s">
        <v>29</v>
      </c>
      <c r="B19" s="4" t="s">
        <v>10</v>
      </c>
      <c r="C19" s="4" t="s">
        <v>20</v>
      </c>
      <c r="D19" s="4" t="s">
        <v>24</v>
      </c>
      <c r="E19" s="4"/>
      <c r="F19" s="4"/>
      <c r="G19" s="4"/>
    </row>
    <row r="20" spans="1:7" x14ac:dyDescent="0.35">
      <c r="A20" s="4" t="s">
        <v>29</v>
      </c>
      <c r="B20" s="4" t="s">
        <v>10</v>
      </c>
      <c r="C20" s="4" t="s">
        <v>21</v>
      </c>
      <c r="D20" s="4" t="s">
        <v>23</v>
      </c>
      <c r="E20" s="4"/>
      <c r="F20" s="4"/>
      <c r="G20" s="4"/>
    </row>
    <row r="21" spans="1:7" x14ac:dyDescent="0.35">
      <c r="A21" s="4" t="s">
        <v>29</v>
      </c>
      <c r="B21" s="4" t="s">
        <v>10</v>
      </c>
      <c r="C21" s="4" t="s">
        <v>21</v>
      </c>
      <c r="D21" s="4" t="s">
        <v>24</v>
      </c>
      <c r="E21" s="4"/>
      <c r="F21" s="4"/>
      <c r="G21" s="4"/>
    </row>
    <row r="22" spans="1:7" x14ac:dyDescent="0.35">
      <c r="A22" s="5" t="s">
        <v>29</v>
      </c>
      <c r="B22" s="5" t="s">
        <v>11</v>
      </c>
      <c r="C22" s="5" t="s">
        <v>20</v>
      </c>
      <c r="D22" s="5" t="s">
        <v>23</v>
      </c>
      <c r="E22" s="5"/>
      <c r="F22" s="5"/>
      <c r="G22" s="5"/>
    </row>
    <row r="23" spans="1:7" x14ac:dyDescent="0.35">
      <c r="A23" s="5" t="s">
        <v>29</v>
      </c>
      <c r="B23" s="5" t="s">
        <v>11</v>
      </c>
      <c r="C23" s="5" t="s">
        <v>20</v>
      </c>
      <c r="D23" s="5" t="s">
        <v>24</v>
      </c>
      <c r="E23" s="5"/>
      <c r="F23" s="5"/>
      <c r="G23" s="5"/>
    </row>
    <row r="24" spans="1:7" x14ac:dyDescent="0.35">
      <c r="A24" s="5" t="s">
        <v>29</v>
      </c>
      <c r="B24" s="5" t="s">
        <v>11</v>
      </c>
      <c r="C24" s="5" t="s">
        <v>22</v>
      </c>
      <c r="D24" s="5" t="s">
        <v>23</v>
      </c>
      <c r="E24" s="5"/>
      <c r="F24" s="5"/>
      <c r="G24" s="8"/>
    </row>
    <row r="25" spans="1:7" x14ac:dyDescent="0.35">
      <c r="A25" s="5" t="s">
        <v>29</v>
      </c>
      <c r="B25" s="5" t="s">
        <v>11</v>
      </c>
      <c r="C25" s="5" t="s">
        <v>22</v>
      </c>
      <c r="D25" s="5" t="s">
        <v>24</v>
      </c>
      <c r="E25" s="5"/>
      <c r="F25" s="5"/>
      <c r="G25" s="5"/>
    </row>
  </sheetData>
  <autoFilter ref="A1:D25" xr:uid="{00000000-0009-0000-0000-000002000000}"/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Subject_Metadata</vt:lpstr>
      <vt:lpstr>Static_Results</vt:lpstr>
      <vt:lpstr>Dynamic_Results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Blanca Bru Querol</cp:lastModifiedBy>
  <dcterms:created xsi:type="dcterms:W3CDTF">2026-04-30T10:50:45Z</dcterms:created>
  <dcterms:modified xsi:type="dcterms:W3CDTF">2026-05-29T15:40:37Z</dcterms:modified>
</cp:coreProperties>
</file>